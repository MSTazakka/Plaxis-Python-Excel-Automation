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d.docs.live.net/6a47c069a6064c7b/08_PYTHON/SYNCERA_CLAUDE/02_Plaxis_Python/PLAXIS_PYTHON_V0.8.5-PUBLIC/"/>
    </mc:Choice>
  </mc:AlternateContent>
  <xr:revisionPtr revIDLastSave="20024" documentId="11_BDECFD90D59CCDBADF80895CA081CDB77E393EAF" xr6:coauthVersionLast="47" xr6:coauthVersionMax="47" xr10:uidLastSave="{88863755-CFBD-4FC2-AF61-58E6C80AA76F}"/>
  <bookViews>
    <workbookView xWindow="25080" yWindow="-525" windowWidth="29040" windowHeight="15720" tabRatio="849" activeTab="3" xr2:uid="{00000000-000D-0000-FFFF-FFFF00000000}"/>
  </bookViews>
  <sheets>
    <sheet name="main" sheetId="1" r:id="rId1"/>
    <sheet name="cmd_plaxis" sheetId="2" state="hidden" r:id="rId2"/>
    <sheet name="str_2D" sheetId="3" r:id="rId3"/>
    <sheet name="assign_sequence" sheetId="4" r:id="rId4"/>
    <sheet name="output" sheetId="5" r:id="rId5"/>
    <sheet name="DIAGNOSTIC" sheetId="17" state="hidden" r:id="rId6"/>
    <sheet name="elements" sheetId="18" state="hidden" r:id="rId7"/>
    <sheet name="manual" sheetId="19" state="hidden" r:id="rId8"/>
    <sheet name="_xlwings.conf" sheetId="20" state="hidden" r:id="rId9"/>
  </sheets>
  <functionGroups builtInGroupCount="19"/>
  <definedNames>
    <definedName name="_xlnm._FilterDatabase" localSheetId="3" hidden="1">assign_sequence!$A$6:$BJ$92</definedName>
    <definedName name="_xlnm._FilterDatabase" localSheetId="0" hidden="1">main!$B$12:$AA$33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0" i="3" l="1"/>
  <c r="L67" i="3"/>
  <c r="A38" i="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J33" i="1"/>
  <c r="AI33" i="1"/>
  <c r="AH33" i="1"/>
  <c r="AG33" i="1"/>
  <c r="AJ32" i="1"/>
  <c r="AI32" i="1"/>
  <c r="AH32" i="1"/>
  <c r="AG32" i="1"/>
  <c r="AJ31" i="1"/>
  <c r="AI31" i="1"/>
  <c r="AH31" i="1"/>
  <c r="AG31" i="1"/>
  <c r="AJ30" i="1"/>
  <c r="AI30" i="1"/>
  <c r="AH30" i="1"/>
  <c r="AG30" i="1"/>
  <c r="AJ29" i="1"/>
  <c r="AI29" i="1"/>
  <c r="AH29" i="1"/>
  <c r="AG29" i="1"/>
  <c r="AJ28" i="1"/>
  <c r="AI28" i="1"/>
  <c r="AH28" i="1"/>
  <c r="AG28" i="1"/>
  <c r="AJ27" i="1"/>
  <c r="AI27" i="1"/>
  <c r="AH27" i="1"/>
  <c r="AG27" i="1"/>
  <c r="AJ26" i="1"/>
  <c r="AI26" i="1"/>
  <c r="AH26" i="1"/>
  <c r="AG26" i="1"/>
  <c r="AJ25" i="1"/>
  <c r="AI25" i="1"/>
  <c r="AH25" i="1"/>
  <c r="AG25" i="1"/>
  <c r="AJ24" i="1"/>
  <c r="AI24" i="1"/>
  <c r="AH24" i="1"/>
  <c r="AG24" i="1"/>
  <c r="AJ23" i="1"/>
  <c r="AI23" i="1"/>
  <c r="AH23" i="1"/>
  <c r="AG23" i="1"/>
  <c r="AJ22" i="1"/>
  <c r="AI22" i="1"/>
  <c r="AH22" i="1"/>
  <c r="AG22" i="1"/>
  <c r="AJ21" i="1"/>
  <c r="AI21" i="1"/>
  <c r="AJ20" i="1"/>
  <c r="AI20" i="1"/>
  <c r="AJ19" i="1"/>
  <c r="AI19" i="1"/>
  <c r="AJ18" i="1"/>
  <c r="AI18" i="1"/>
  <c r="AJ17" i="1"/>
  <c r="AI17" i="1"/>
  <c r="AJ16" i="1"/>
  <c r="AI16" i="1"/>
  <c r="AJ15" i="1"/>
  <c r="AI15" i="1"/>
  <c r="AJ14" i="1"/>
  <c r="AI14" i="1"/>
  <c r="AJ13" i="1"/>
  <c r="AI13" i="1"/>
  <c r="C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Merdeka Sandi Tazakka</author>
  </authors>
  <commentList>
    <comment ref="Y12" authorId="0" shapeId="0" xr:uid="{00000000-0006-0000-0000-000001000000}">
      <text>
        <r>
          <rPr>
            <sz val="12"/>
            <color theme="1"/>
            <rFont val="Calibri"/>
            <family val="2"/>
            <scheme val="minor"/>
          </rPr>
          <t>Merdeka Sandi Tazakka:
only for SSC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Merdeka Sandi Tazakka</author>
  </authors>
  <commentList>
    <comment ref="Y6" authorId="0" shapeId="0" xr:uid="{00000000-0006-0000-0200-000001000000}">
      <text>
        <r>
          <rPr>
            <sz val="12"/>
            <color theme="1"/>
            <rFont val="Calibri"/>
            <family val="2"/>
            <scheme val="minor"/>
          </rPr>
          <t>Merdeka Sandi Tazakka:
only for SSC</t>
        </r>
      </text>
    </comment>
  </commentList>
</comments>
</file>

<file path=xl/sharedStrings.xml><?xml version="1.0" encoding="utf-8"?>
<sst xmlns="http://schemas.openxmlformats.org/spreadsheetml/2006/main" count="2046" uniqueCount="520">
  <si>
    <t>description</t>
  </si>
  <si>
    <t>value</t>
  </si>
  <si>
    <t>units</t>
  </si>
  <si>
    <t>surface_level</t>
  </si>
  <si>
    <t>m+ref</t>
  </si>
  <si>
    <t>water_level</t>
  </si>
  <si>
    <t>manual</t>
  </si>
  <si>
    <t>-</t>
  </si>
  <si>
    <t>water_depth</t>
  </si>
  <si>
    <t>m</t>
  </si>
  <si>
    <t>x_min</t>
  </si>
  <si>
    <t>y_min</t>
  </si>
  <si>
    <t>SPT</t>
  </si>
  <si>
    <t>Port</t>
  </si>
  <si>
    <t>x_max</t>
  </si>
  <si>
    <t>A</t>
  </si>
  <si>
    <t>Password</t>
  </si>
  <si>
    <t>Sm$eyE+v$@^4&gt;HxA</t>
  </si>
  <si>
    <t>y_max</t>
  </si>
  <si>
    <t>plaxis_type</t>
  </si>
  <si>
    <t>2D_PS</t>
  </si>
  <si>
    <t>Darendeli</t>
  </si>
  <si>
    <t>Basic Parameter</t>
  </si>
  <si>
    <t>Hardening Soil Model</t>
  </si>
  <si>
    <t>HSS Model</t>
  </si>
  <si>
    <t>HSS (optional), SSC (mandatory)</t>
  </si>
  <si>
    <t>Soft Soil Creep Parameter</t>
  </si>
  <si>
    <t>Groundwater (beware of permeability units in Plaxis)</t>
  </si>
  <si>
    <t>type</t>
  </si>
  <si>
    <t>soil_layers</t>
  </si>
  <si>
    <t>gunsat</t>
  </si>
  <si>
    <t>gsat</t>
  </si>
  <si>
    <t>depth_top</t>
  </si>
  <si>
    <t>depth_bot</t>
  </si>
  <si>
    <t>N_top</t>
  </si>
  <si>
    <t>N_bot</t>
  </si>
  <si>
    <t>c</t>
  </si>
  <si>
    <t>phi</t>
  </si>
  <si>
    <t>psi</t>
  </si>
  <si>
    <t>Rinter</t>
  </si>
  <si>
    <t>E50/N</t>
  </si>
  <si>
    <t>pref</t>
  </si>
  <si>
    <t>E50_ref</t>
  </si>
  <si>
    <t>Eoed_ref</t>
  </si>
  <si>
    <t>Eur_ref</t>
  </si>
  <si>
    <t>G0_ref</t>
  </si>
  <si>
    <t>g07</t>
  </si>
  <si>
    <t>RD</t>
  </si>
  <si>
    <t>PI</t>
  </si>
  <si>
    <t>OCR</t>
  </si>
  <si>
    <t>POP</t>
  </si>
  <si>
    <t>einit</t>
  </si>
  <si>
    <t>lambda</t>
  </si>
  <si>
    <t>kappa</t>
  </si>
  <si>
    <t>mu</t>
  </si>
  <si>
    <t>mode</t>
  </si>
  <si>
    <t>clay_frac</t>
  </si>
  <si>
    <t>silt_frac</t>
  </si>
  <si>
    <t>k_ver</t>
  </si>
  <si>
    <t>k_hor_ratio</t>
  </si>
  <si>
    <t>Ele_top</t>
  </si>
  <si>
    <t>Ele_bot</t>
  </si>
  <si>
    <t>sand-HSS</t>
  </si>
  <si>
    <t>Layer1 - madeground</t>
  </si>
  <si>
    <t>by_grain_size</t>
  </si>
  <si>
    <t>layer2 - gravel</t>
  </si>
  <si>
    <t>clay-HSS</t>
  </si>
  <si>
    <t>layer3 - clay</t>
  </si>
  <si>
    <t>automatic</t>
  </si>
  <si>
    <t>layer4 - clay 2</t>
  </si>
  <si>
    <t>row</t>
  </si>
  <si>
    <t>depth</t>
  </si>
  <si>
    <t>BH-1A</t>
  </si>
  <si>
    <t>BH-1B</t>
  </si>
  <si>
    <t>Dummy</t>
  </si>
  <si>
    <t>initializerectangular SoilContour 0.0 -50.0 150.0 5.0</t>
  </si>
  <si>
    <t>borehole 0</t>
  </si>
  <si>
    <t>set Borehole_1.Head 3.0</t>
  </si>
  <si>
    <t>soillayer 4.0</t>
  </si>
  <si>
    <t>soillayer 7.0</t>
  </si>
  <si>
    <t>soillayer 9.0</t>
  </si>
  <si>
    <t>soillayer 12.0</t>
  </si>
  <si>
    <t>soilmat "Identification" "Layer1 - madeground" "SoilModel" "HS Small" "DrainageType" "Drained" "gammaUnsat" 18.0 "gammaSat" 18.0 "E50Ref" 87012.0 "PowerM" 0.5 "pRef" 100.0 "G0Ref" 295235.0 "gamma07" 7.6e-05 "cRef" 0.1 "phi" 25.0 "psi" 0.0 "InterfaceStrengthDetermination" "Manual" "Rinter" 0.8 "GroundwaterClassificationType" "USDA" "GroundwaterSoilClassUSDA" "Sand" "GwUseDefaults" True "GwDefaultsMethod" "From grain size distribution" "ClayFraction" 10.0 "SiltFraction" 20.0</t>
  </si>
  <si>
    <t>soilmat "Identification" "layer2 - gravel" "SoilModel" "HS Small" "DrainageType" "Drained" "gammaUnsat" 19.0 "gammaSat" 19.0 "E50Ref" 111010.0 "PowerM" 0.7 "pRef" 100.0 "G0Ref" 397585.0 "gamma07" 0.000104 "cRef" 0.0 "phi" 39.0 "psi" 0.0 "InterfaceStrengthDetermination" "Manual" "Rinter" 0.8 "GroundwaterClassificationType" "USDA" "GroundwaterSoilClassUSDA" "Sand" "GwUseDefaults" True "GwDefaultsMethod" "From grain size distribution" "ClayFraction" 50.0 "SiltFraction" 40.0</t>
  </si>
  <si>
    <t>soilmat "Identification" "layer3 - clay" "SoilModel" "HS Small" "DrainageType" "Undrained A" "gammaUnsat" 20.0 "gammaSat" 20.0 "E50Ref" 157712.0 "PowerM" 0.9 "pRef" 100.0 "G0Ref" 297290.0 "gamma07" 0.00034 "cRef" 5.0 "phi" 25.0 "psi" 0.0 "InterfaceStrengthDetermination" "Manual" "Rinter" 0.8 "GwUseDefaults" False "PermHorizontalPrimary" 1.5 "PermVertical" 1.0</t>
  </si>
  <si>
    <t>soilmat "Identification" "layer4 - clay 2" "SoilModel" "HS Small" "DrainageType" "Drained" "gammaUnsat" 20.0 "gammaSat" 20.0 "E50Ref" 159386.0 "PowerM" 1.0 "pRef" 100.0 "G0Ref" 300445.0 "gamma07" 0.000453 "cRef" 5.0 "phi" 25.0 "psi" 0.0 "InterfaceStrengthDetermination" "Manual" "Rinter" 0.8 "GroundwaterClassificationType" "USDA" "GroundwaterSoilClassUSDA" "Sand" "GwUseDefaults" True "GwDefaultsMethod" "From grain size distribution"</t>
  </si>
  <si>
    <t>set Soillayer_1.Soil.Material Layer1Madeground</t>
  </si>
  <si>
    <t>set Soillayer_2.Soil.Material Layer2Gravel</t>
  </si>
  <si>
    <t>set Soillayer_3.Soil.Material Layer3Clay</t>
  </si>
  <si>
    <t>set Soillayer_4.Soil.Material Layer4Clay2</t>
  </si>
  <si>
    <t>_set Soillayer_1.Zones[0].Top 5.0</t>
  </si>
  <si>
    <t>_set Soillayer_1.Zones[0].Bottom 1.0</t>
  </si>
  <si>
    <t>_set Soillayer_2.Zones[0].Bottom -6.0</t>
  </si>
  <si>
    <t>_set Soillayer_3.Zones[0].Bottom -15.0</t>
  </si>
  <si>
    <t>_set Soillayer_4.Zones[0].Bottom -27.0</t>
  </si>
  <si>
    <t>mesh_density</t>
  </si>
  <si>
    <t>user input</t>
  </si>
  <si>
    <t>mesh_generation</t>
  </si>
  <si>
    <t>included</t>
  </si>
  <si>
    <t>parent - must fill row values</t>
  </si>
  <si>
    <t>sc4: done — 12 elements ██████████ 100%</t>
  </si>
  <si>
    <t>sc5: done — 35 elements ██████████ 100%</t>
  </si>
  <si>
    <t>sand-HS</t>
  </si>
  <si>
    <t>Backfill</t>
  </si>
  <si>
    <t>N/A</t>
  </si>
  <si>
    <t>clay-HS</t>
  </si>
  <si>
    <t>Clayfill</t>
  </si>
  <si>
    <t>Rockfill</t>
  </si>
  <si>
    <t>by_grain_s</t>
  </si>
  <si>
    <t>linear-elastic</t>
  </si>
  <si>
    <t>Concrete_E20GPa_nu0.2</t>
  </si>
  <si>
    <t>Concrete_E30GPa_nu0.15</t>
  </si>
  <si>
    <t>Load_name</t>
  </si>
  <si>
    <t>cad_layer</t>
  </si>
  <si>
    <t>x1</t>
  </si>
  <si>
    <t>y1</t>
  </si>
  <si>
    <t>x2</t>
  </si>
  <si>
    <t>y2</t>
  </si>
  <si>
    <t>load_no</t>
  </si>
  <si>
    <t>load_model</t>
  </si>
  <si>
    <t>qx_start</t>
  </si>
  <si>
    <t>qy_start</t>
  </si>
  <si>
    <t>load_line[7.5kPa]</t>
  </si>
  <si>
    <t>LineLoad_1</t>
  </si>
  <si>
    <t>line_load</t>
  </si>
  <si>
    <t>load_line[60kPa]</t>
  </si>
  <si>
    <t>LineLoad_2</t>
  </si>
  <si>
    <t>load_point[450kN]</t>
  </si>
  <si>
    <t>PointLoad_1</t>
  </si>
  <si>
    <t>point_load</t>
  </si>
  <si>
    <t>PointLoad_2</t>
  </si>
  <si>
    <t>load_point[175N]</t>
  </si>
  <si>
    <t>PointLoad_3</t>
  </si>
  <si>
    <t>Plate elements</t>
  </si>
  <si>
    <t>plate_name</t>
  </si>
  <si>
    <t>plate_type</t>
  </si>
  <si>
    <t>plate_model</t>
  </si>
  <si>
    <t>plate_THK(m)</t>
  </si>
  <si>
    <t>plate_E(Mpa)</t>
  </si>
  <si>
    <t>plate_A1(m2)</t>
  </si>
  <si>
    <t>v_nu</t>
  </si>
  <si>
    <t>plate_w(kN/m/m)</t>
  </si>
  <si>
    <t>interface</t>
  </si>
  <si>
    <t>prevent_punching</t>
  </si>
  <si>
    <t>isotropic</t>
  </si>
  <si>
    <t>plate_A2(m2)</t>
  </si>
  <si>
    <t>Mp(kNm/m)</t>
  </si>
  <si>
    <t>Np1tens(kN/m)</t>
  </si>
  <si>
    <t>Np2tens(kN/m)</t>
  </si>
  <si>
    <t>plate_I(m4)</t>
  </si>
  <si>
    <t>plate_EI</t>
  </si>
  <si>
    <t>plate_EA1</t>
  </si>
  <si>
    <t>plate_EA2</t>
  </si>
  <si>
    <t>custom_wall</t>
  </si>
  <si>
    <t>elastic</t>
  </si>
  <si>
    <t>both</t>
  </si>
  <si>
    <t>yes</t>
  </si>
  <si>
    <t>none</t>
  </si>
  <si>
    <t>sheet_pile</t>
  </si>
  <si>
    <t>Tunnel Element</t>
  </si>
  <si>
    <t>tunnel_position = g_i.tunnel(x, y + radius), always double check your tunnel position in real DXF drawing</t>
  </si>
  <si>
    <t>tunnel_name</t>
  </si>
  <si>
    <t>liner_position</t>
  </si>
  <si>
    <t>liner_model</t>
  </si>
  <si>
    <t>C_ref</t>
  </si>
  <si>
    <t>primary</t>
  </si>
  <si>
    <t>plate_elastic</t>
  </si>
  <si>
    <t>negative</t>
  </si>
  <si>
    <t>no</t>
  </si>
  <si>
    <t>secondary</t>
  </si>
  <si>
    <t>str_volume</t>
  </si>
  <si>
    <t>plate_ePlastic</t>
  </si>
  <si>
    <t>positive</t>
  </si>
  <si>
    <t>Tendon/Round Bar (Node to Node elements)</t>
  </si>
  <si>
    <t>nn_name</t>
  </si>
  <si>
    <t>nn_type</t>
  </si>
  <si>
    <t>nn_model</t>
  </si>
  <si>
    <t>L_spacing(m)</t>
  </si>
  <si>
    <t>nn_E(Mpa)</t>
  </si>
  <si>
    <t>nn_A(m2)</t>
  </si>
  <si>
    <t>Fmax_tens</t>
  </si>
  <si>
    <t>Fmax_comp</t>
  </si>
  <si>
    <t>nn_EA</t>
  </si>
  <si>
    <t>strand</t>
  </si>
  <si>
    <t>Nail/Grout anchor  (embedded beam elements)</t>
  </si>
  <si>
    <t>anc_name</t>
  </si>
  <si>
    <t>anc_type</t>
  </si>
  <si>
    <t>anc_model</t>
  </si>
  <si>
    <t>anc_E(Mpa)</t>
  </si>
  <si>
    <t>anc_w(kN/m/m)</t>
  </si>
  <si>
    <t>diameter(m)</t>
  </si>
  <si>
    <t>resistance_model</t>
  </si>
  <si>
    <t>Tskin_start</t>
  </si>
  <si>
    <t>Tskin_end</t>
  </si>
  <si>
    <t>Nptens(kN/m)</t>
  </si>
  <si>
    <t>grout_body</t>
  </si>
  <si>
    <t>linear</t>
  </si>
  <si>
    <t>Struts (Node to Node elements)</t>
  </si>
  <si>
    <t>strut_beam</t>
  </si>
  <si>
    <t>Struts (fixed-end element)</t>
  </si>
  <si>
    <t>fe_name</t>
  </si>
  <si>
    <t>fe_type</t>
  </si>
  <si>
    <t>fe_model</t>
  </si>
  <si>
    <t>Direction_x</t>
  </si>
  <si>
    <t>FE_strut</t>
  </si>
  <si>
    <t>Pile  (embedded beam elements)</t>
  </si>
  <si>
    <t>pile_name</t>
  </si>
  <si>
    <t>diameter/width(m)</t>
  </si>
  <si>
    <t>pile_THK(m)</t>
  </si>
  <si>
    <t>Fmax</t>
  </si>
  <si>
    <t>circular_tube</t>
  </si>
  <si>
    <t>layer_dependent</t>
  </si>
  <si>
    <t>geogrid</t>
  </si>
  <si>
    <t>geogrid_name</t>
  </si>
  <si>
    <t>gg_type</t>
  </si>
  <si>
    <t>gg_model</t>
  </si>
  <si>
    <t>gg_E(Mpa)</t>
  </si>
  <si>
    <t>gg_A1(m2)</t>
  </si>
  <si>
    <t>gg_A2(m2)</t>
  </si>
  <si>
    <t>Np1(kN/m)</t>
  </si>
  <si>
    <t>Np2(kN/m)</t>
  </si>
  <si>
    <t>gg_EA1</t>
  </si>
  <si>
    <t>gg_EA2</t>
  </si>
  <si>
    <t>elastoplastic</t>
  </si>
  <si>
    <t>soil cut and fill (polygon elements)</t>
  </si>
  <si>
    <t>maximum limit</t>
  </si>
  <si>
    <t>spoly_name</t>
  </si>
  <si>
    <t>spoly_type</t>
  </si>
  <si>
    <t>polygon_no</t>
  </si>
  <si>
    <t>material</t>
  </si>
  <si>
    <t>drains_name</t>
  </si>
  <si>
    <t>drain_no</t>
  </si>
  <si>
    <t>waterline_name</t>
  </si>
  <si>
    <t>waterline_no</t>
  </si>
  <si>
    <t>cut_1</t>
  </si>
  <si>
    <t>cut</t>
  </si>
  <si>
    <t>waterline_1</t>
  </si>
  <si>
    <t>waterlevel_1</t>
  </si>
  <si>
    <t>gwflowbc_1</t>
  </si>
  <si>
    <t>waterboundary_head</t>
  </si>
  <si>
    <t>gwflowbc_2</t>
  </si>
  <si>
    <t>waterboundary_closed</t>
  </si>
  <si>
    <t>gwflowbc_3</t>
  </si>
  <si>
    <t>gwflowbc_4</t>
  </si>
  <si>
    <t>cut_2</t>
  </si>
  <si>
    <t>cut_3</t>
  </si>
  <si>
    <t>cut_4</t>
  </si>
  <si>
    <t>cut_5</t>
  </si>
  <si>
    <t>fill_1</t>
  </si>
  <si>
    <t>fill</t>
  </si>
  <si>
    <t>fill_2</t>
  </si>
  <si>
    <t>fill_3</t>
  </si>
  <si>
    <t>str_volume_1</t>
  </si>
  <si>
    <t>volume_profile</t>
  </si>
  <si>
    <t>str_vol_neg_EXbot</t>
  </si>
  <si>
    <t>str_vol_neg_EXboth</t>
  </si>
  <si>
    <t>str_volume_2</t>
  </si>
  <si>
    <t>str_volume_3</t>
  </si>
  <si>
    <t>str_vol_neginterface</t>
  </si>
  <si>
    <t>str_vol_neg_EXleft</t>
  </si>
  <si>
    <t>calc_type</t>
  </si>
  <si>
    <t>gravity_loading</t>
  </si>
  <si>
    <t>plastic</t>
  </si>
  <si>
    <t>t</t>
  </si>
  <si>
    <t>upd_mesh</t>
  </si>
  <si>
    <t>ID</t>
  </si>
  <si>
    <t>No</t>
  </si>
  <si>
    <t>name</t>
  </si>
  <si>
    <t>PLAXIS Label</t>
  </si>
  <si>
    <t>parent_plate</t>
  </si>
  <si>
    <t>Initial</t>
  </si>
  <si>
    <t>Phase 1</t>
  </si>
  <si>
    <t>Phase 2</t>
  </si>
  <si>
    <t>Phase 3</t>
  </si>
  <si>
    <t>Phase 4</t>
  </si>
  <si>
    <t>Phase 5</t>
  </si>
  <si>
    <t>Phase 6</t>
  </si>
  <si>
    <t>Phase 7</t>
  </si>
  <si>
    <t>Phase 8</t>
  </si>
  <si>
    <t>Phase 9</t>
  </si>
  <si>
    <t>Phase 10</t>
  </si>
  <si>
    <t>Phase 11</t>
  </si>
  <si>
    <t>Phase 12</t>
  </si>
  <si>
    <t>Phase 13</t>
  </si>
  <si>
    <t>Phase 14</t>
  </si>
  <si>
    <t>Phase 15</t>
  </si>
  <si>
    <t>Phase 16</t>
  </si>
  <si>
    <t>Phase 17</t>
  </si>
  <si>
    <t>Phase 18</t>
  </si>
  <si>
    <t>Phase 19</t>
  </si>
  <si>
    <t>Phase 20</t>
  </si>
  <si>
    <t>Phase 21</t>
  </si>
  <si>
    <t>Phase 22</t>
  </si>
  <si>
    <t>Phase 23</t>
  </si>
  <si>
    <t>Phase 24</t>
  </si>
  <si>
    <t>Phase 25</t>
  </si>
  <si>
    <t>Phase 26</t>
  </si>
  <si>
    <t>Phase 27</t>
  </si>
  <si>
    <t>Phase 28</t>
  </si>
  <si>
    <t>Phase 29</t>
  </si>
  <si>
    <t>Phase 30</t>
  </si>
  <si>
    <t>Phase 31</t>
  </si>
  <si>
    <t>Phase 32</t>
  </si>
  <si>
    <t>Phase 33</t>
  </si>
  <si>
    <t>Phase 34</t>
  </si>
  <si>
    <t>Phase 35</t>
  </si>
  <si>
    <t>Phase 36</t>
  </si>
  <si>
    <t>Phase 37</t>
  </si>
  <si>
    <t>Phase 38</t>
  </si>
  <si>
    <t>Phase 39</t>
  </si>
  <si>
    <t>Phase 40</t>
  </si>
  <si>
    <t>Phase 41</t>
  </si>
  <si>
    <t>Phase 42</t>
  </si>
  <si>
    <t>Phase 43</t>
  </si>
  <si>
    <t>Phase 44</t>
  </si>
  <si>
    <t>Phase 45</t>
  </si>
  <si>
    <t>Phase 46</t>
  </si>
  <si>
    <t>Phase 47</t>
  </si>
  <si>
    <t>Phase 48</t>
  </si>
  <si>
    <t>Phase 49</t>
  </si>
  <si>
    <t>Phase 50</t>
  </si>
  <si>
    <t>Plate_1</t>
  </si>
  <si>
    <t>Plate_2</t>
  </si>
  <si>
    <t>sheet_pile_THK=0.6m</t>
  </si>
  <si>
    <t>Plate_3</t>
  </si>
  <si>
    <t>Plate_4</t>
  </si>
  <si>
    <t>NodeToNodeAnchor_1</t>
  </si>
  <si>
    <t>Pile_circular_tube_D=0.8m_L=3.0m</t>
  </si>
  <si>
    <t>EmbeddedBeam_1</t>
  </si>
  <si>
    <t>pile_1[OD 800mm]</t>
  </si>
  <si>
    <t>Pile_circular_tube_D=0.71m_L=3.0m</t>
  </si>
  <si>
    <t>EmbeddedBeam_2</t>
  </si>
  <si>
    <t>pile_2[OD 600mm]</t>
  </si>
  <si>
    <t>EmbeddedBeam_3</t>
  </si>
  <si>
    <t>EmbeddedBeam_4</t>
  </si>
  <si>
    <t>EmbeddedBeam_5</t>
  </si>
  <si>
    <t>EmbeddedBeam_6</t>
  </si>
  <si>
    <t>EmbeddedBeam_7</t>
  </si>
  <si>
    <t>pile_3[tension_pile - OD600 ]</t>
  </si>
  <si>
    <t>PositiveInterface_1</t>
  </si>
  <si>
    <t>NegativeInterface_1</t>
  </si>
  <si>
    <t>sheet_pile (positive)</t>
  </si>
  <si>
    <t>PositiveInterface_2</t>
  </si>
  <si>
    <t>sheet_pile (negative)</t>
  </si>
  <si>
    <t>NegativeInterface_2</t>
  </si>
  <si>
    <t>str_volume_1 (negative)</t>
  </si>
  <si>
    <t>NegativeInterface_3</t>
  </si>
  <si>
    <t>Polygon_11</t>
  </si>
  <si>
    <t>NegativeInterface_4</t>
  </si>
  <si>
    <t>NegativeInterface_5</t>
  </si>
  <si>
    <t>str_volume_3 (negative)</t>
  </si>
  <si>
    <t>NegativeInterface_6</t>
  </si>
  <si>
    <t>Polygon_13</t>
  </si>
  <si>
    <t>NegativeInterface_7</t>
  </si>
  <si>
    <t>NegativeInterface_8</t>
  </si>
  <si>
    <t>NegativeInterface_9</t>
  </si>
  <si>
    <t>NegativeInterface_10</t>
  </si>
  <si>
    <t>NegativeInterface_11</t>
  </si>
  <si>
    <t>NegativeInterface_12</t>
  </si>
  <si>
    <t>NegativeInterface_13</t>
  </si>
  <si>
    <t>soil_polygon</t>
  </si>
  <si>
    <t>Polygon_1</t>
  </si>
  <si>
    <t>Polygon_2</t>
  </si>
  <si>
    <t>Polygon_3</t>
  </si>
  <si>
    <t>fill_4</t>
  </si>
  <si>
    <t>Polygon_4</t>
  </si>
  <si>
    <t>Polygon_5</t>
  </si>
  <si>
    <t>D</t>
  </si>
  <si>
    <t>Polygon_6</t>
  </si>
  <si>
    <t>Polygon_7</t>
  </si>
  <si>
    <t>Polygon_8</t>
  </si>
  <si>
    <t>Polygon_9</t>
  </si>
  <si>
    <t>cut_6</t>
  </si>
  <si>
    <t>Polygon_10</t>
  </si>
  <si>
    <t>ConcreteE30GpaNu015</t>
  </si>
  <si>
    <t>Polygon_12</t>
  </si>
  <si>
    <t>line_load1_7kPa</t>
  </si>
  <si>
    <t>line_load2_0kPa</t>
  </si>
  <si>
    <t>point_load1</t>
  </si>
  <si>
    <t>point_load2</t>
  </si>
  <si>
    <t>point_load3</t>
  </si>
  <si>
    <t>BoreholeWaterLevel_1</t>
  </si>
  <si>
    <t>global_waterlevel</t>
  </si>
  <si>
    <t>UserWaterLevel_1</t>
  </si>
  <si>
    <t>A, SS</t>
  </si>
  <si>
    <t>waterboundary_head_+10</t>
  </si>
  <si>
    <t>gwflowbc</t>
  </si>
  <si>
    <t>GWFlowBC_1</t>
  </si>
  <si>
    <t>waterboundary_closed_1</t>
  </si>
  <si>
    <t>GWFlowBC_2</t>
  </si>
  <si>
    <t>waterboundary_closed_2</t>
  </si>
  <si>
    <t>GWFlowBC_3</t>
  </si>
  <si>
    <t>waterboundary_closed_3</t>
  </si>
  <si>
    <t>GWFlowBC_4</t>
  </si>
  <si>
    <t>saved_model_name</t>
  </si>
  <si>
    <t>example_2</t>
  </si>
  <si>
    <t>tunnel_radial_chart</t>
  </si>
  <si>
    <t>curve</t>
  </si>
  <si>
    <t>axis V/H</t>
  </si>
  <si>
    <t>element</t>
  </si>
  <si>
    <t>curve_node_1</t>
  </si>
  <si>
    <t>curve_node</t>
  </si>
  <si>
    <t>node</t>
  </si>
  <si>
    <t>NMQUx</t>
  </si>
  <si>
    <t>curve_node_2</t>
  </si>
  <si>
    <t>curve_node_3</t>
  </si>
  <si>
    <t>curve_node_4</t>
  </si>
  <si>
    <t>curve_stresspoint_1</t>
  </si>
  <si>
    <t>curve_stresspoint</t>
  </si>
  <si>
    <t>stresspoint</t>
  </si>
  <si>
    <t>FU</t>
  </si>
  <si>
    <t>curve_stresspoint_2</t>
  </si>
  <si>
    <t>curve_stresspoint_3</t>
  </si>
  <si>
    <t>curve_stresspoint_4</t>
  </si>
  <si>
    <t>Workbook</t>
  </si>
  <si>
    <t>Module</t>
  </si>
  <si>
    <t>Timestamp</t>
  </si>
  <si>
    <t>PHASE DISCOVERY</t>
  </si>
  <si>
    <t>col</t>
  </si>
  <si>
    <t>default_name</t>
  </si>
  <si>
    <t>gravityloading</t>
  </si>
  <si>
    <t>SCAN LOG</t>
  </si>
  <si>
    <t>label</t>
  </si>
  <si>
    <t>pno</t>
  </si>
  <si>
    <t>raw_val</t>
  </si>
  <si>
    <t>action</t>
  </si>
  <si>
    <t>prestress</t>
  </si>
  <si>
    <t>supported</t>
  </si>
  <si>
    <t>activate</t>
  </si>
  <si>
    <t>deactivate</t>
  </si>
  <si>
    <t>PHASE ACTIONS (for codegen)</t>
  </si>
  <si>
    <t>phase</t>
  </si>
  <si>
    <t>row_type</t>
  </si>
  <si>
    <t>WARNINGS</t>
  </si>
  <si>
    <t>(none)</t>
  </si>
  <si>
    <t>PRESTRESS SUPPORTED ROWS</t>
  </si>
  <si>
    <t>bottom</t>
  </si>
  <si>
    <t>RD-PI</t>
  </si>
  <si>
    <t>direct</t>
  </si>
  <si>
    <t>Alpan</t>
  </si>
  <si>
    <t>2D_axis</t>
  </si>
  <si>
    <t>mid_layer</t>
  </si>
  <si>
    <t>Hardin-D</t>
  </si>
  <si>
    <t>3D</t>
  </si>
  <si>
    <t>Ishibasi</t>
  </si>
  <si>
    <t>sand-SSC</t>
  </si>
  <si>
    <t>Required python module.</t>
  </si>
  <si>
    <t>xlwings, pandas, numpy, plotly</t>
  </si>
  <si>
    <t>clay-SSC</t>
  </si>
  <si>
    <t>How to use</t>
  </si>
  <si>
    <t>silt-HS</t>
  </si>
  <si>
    <t>you need anaconda installed on your PC and install required module</t>
  </si>
  <si>
    <t>silt-HSS</t>
  </si>
  <si>
    <t>Don’t change table headers and sheet name.</t>
  </si>
  <si>
    <t>silt-SSC</t>
  </si>
  <si>
    <t>firstly input all your SPT in SPT tab. After than go to Data to input your soil profiles with soil parameter</t>
  </si>
  <si>
    <t>in SPT tab, you can add as many as you want the SPT data. The rule are the far left SPT is your SPT with highest data points (not necessarily the deepest borehole) and the header name is "depth" and "desired SPT name" just follow the format.</t>
  </si>
  <si>
    <t>In Data tab, cell with yellow color is mandatory input. You need to manually input the cell with that yellow color</t>
  </si>
  <si>
    <t>version</t>
  </si>
  <si>
    <t>Change</t>
  </si>
  <si>
    <t>Created by</t>
  </si>
  <si>
    <t>v0.1</t>
  </si>
  <si>
    <t>initial version</t>
  </si>
  <si>
    <t>Deka</t>
  </si>
  <si>
    <t>diaphragm_wall</t>
  </si>
  <si>
    <t>tendon</t>
  </si>
  <si>
    <t>steel_bar</t>
  </si>
  <si>
    <t>secant_pile</t>
  </si>
  <si>
    <t>steel_beam</t>
  </si>
  <si>
    <t>soldier_pile</t>
  </si>
  <si>
    <t>wood</t>
  </si>
  <si>
    <t>concrete_wall</t>
  </si>
  <si>
    <t>other</t>
  </si>
  <si>
    <t>concrete_slab</t>
  </si>
  <si>
    <t>will_be_updated_manually</t>
  </si>
  <si>
    <t>Interpreter_Win</t>
  </si>
  <si>
    <t>python</t>
  </si>
  <si>
    <t>Interpreter_Mac</t>
  </si>
  <si>
    <t>PYTHONPATH</t>
  </si>
  <si>
    <t>Conda Path</t>
  </si>
  <si>
    <t>Conda Env</t>
  </si>
  <si>
    <t>UDF Modules</t>
  </si>
  <si>
    <t>Debug UDFs</t>
  </si>
  <si>
    <t>Use UDF Server</t>
  </si>
  <si>
    <t>Show Console</t>
  </si>
  <si>
    <t>Instructions:</t>
  </si>
  <si>
    <t>If you want to rely on the settings in the addin or an xlwings.conf file, you can delete this sheet.</t>
  </si>
  <si>
    <t>Rename this sheet to "xlwings.conf" to activate it (remove the leading underscore).  The settings have to start in cell A1.</t>
  </si>
  <si>
    <t>When activated, these settings override the settings in the addin (.xlwings/xlwings.conf file in the user directory) and xlwings.conf in the same directory as this Excel file.</t>
  </si>
  <si>
    <t>If you delete a row from here, it will fall back to the first non-empty value xlwings finds in an xlwings.conf file and otherwise use the default values.</t>
  </si>
  <si>
    <t>plots</t>
  </si>
  <si>
    <t>x_axis</t>
  </si>
  <si>
    <t>y_axis</t>
  </si>
  <si>
    <t>p'</t>
  </si>
  <si>
    <t>q</t>
  </si>
  <si>
    <t>plot_curve_points</t>
  </si>
  <si>
    <t>time</t>
  </si>
  <si>
    <t>Ux</t>
  </si>
  <si>
    <t>available data extraction</t>
  </si>
  <si>
    <t>round_bar</t>
  </si>
  <si>
    <t>nn_2[marine tie rod]</t>
  </si>
  <si>
    <t>round_bar_L=3.0m_210000MPa</t>
  </si>
  <si>
    <t>H</t>
  </si>
  <si>
    <t>NMQ</t>
  </si>
  <si>
    <t>manual_mono</t>
  </si>
  <si>
    <t>yes_without_initial</t>
  </si>
  <si>
    <t>NMQU</t>
  </si>
  <si>
    <t xml:space="preserve">If you already drew all curve points in the DXF, no need to press this button. </t>
  </si>
  <si>
    <t>plate_1[combi_wall - ODXXXX]</t>
  </si>
  <si>
    <t>plate_2[sheet_pile - AZXXXXX]</t>
  </si>
  <si>
    <t>combi_wall_ODXXXX</t>
  </si>
  <si>
    <t>combi_wall_ODXXXX (positive)</t>
  </si>
  <si>
    <t>combi_wall_ODXXXX (negative)</t>
  </si>
  <si>
    <t>EXAMPLE 2.xlsm</t>
  </si>
  <si>
    <t>D:\OneDrive\08_PYTHON\SYNCERA_CLAUDE\02_Plaxis_Python\PLAXIS_PYTHON_V0.8.5-PUBLIC\scripts\sc6_staged_construction.py</t>
  </si>
  <si>
    <t>solid_circular</t>
  </si>
  <si>
    <t>square</t>
  </si>
  <si>
    <t>Pile_solid_circular_D=0.71m_L=3.0m</t>
  </si>
  <si>
    <t>Pile_square_D=0.71m_L=3.0m</t>
  </si>
  <si>
    <t>sc9: done — 94/94 cells ██████████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</si>
</sst>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14" x14ac:knownFonts="1">
    <font>
      <sz val="12"/>
      <color theme="1"/>
      <name val="Calibri"/>
      <family val="2"/>
      <scheme val="minor"/>
    </font>
    <font>
      <sz val="9"/>
      <color theme="1"/>
      <name val="Segoe UI"/>
      <family val="2"/>
    </font>
    <font>
      <sz val="10"/>
      <color theme="1"/>
      <name val="Arial"/>
      <family val="2"/>
    </font>
    <font>
      <b/>
      <sz val="12"/>
      <color theme="1"/>
      <name val="Calibri"/>
      <family val="2"/>
      <scheme val="minor"/>
    </font>
    <font>
      <sz val="12"/>
      <color theme="1"/>
      <name val="Calibri"/>
      <family val="2"/>
      <scheme val="minor"/>
    </font>
    <font>
      <b/>
      <sz val="11"/>
      <color theme="3"/>
      <name val="Segoe UI"/>
      <family val="2"/>
    </font>
    <font>
      <sz val="12"/>
      <color theme="2"/>
      <name val="Calibri"/>
      <family val="2"/>
      <scheme val="minor"/>
    </font>
    <font>
      <sz val="10"/>
      <name val="Arial"/>
      <family val="2"/>
    </font>
    <font>
      <b/>
      <sz val="9"/>
      <color rgb="FF3F3F3F"/>
      <name val="Segoe UI"/>
      <family val="2"/>
    </font>
    <font>
      <sz val="9"/>
      <color rgb="FF9C5700"/>
      <name val="Segoe UI"/>
      <family val="2"/>
    </font>
    <font>
      <sz val="12"/>
      <color rgb="FFFF0000"/>
      <name val="Calibri"/>
      <family val="2"/>
      <scheme val="minor"/>
    </font>
    <font>
      <u/>
      <sz val="12"/>
      <color theme="10"/>
      <name val="Calibri"/>
      <family val="2"/>
      <scheme val="minor"/>
    </font>
    <font>
      <sz val="12"/>
      <name val="Calibri"/>
      <family val="2"/>
      <scheme val="minor"/>
    </font>
    <font>
      <sz val="12"/>
      <color rgb="FF000000"/>
      <name val="Calibri"/>
      <family val="2"/>
    </font>
  </fonts>
  <fills count="18">
    <fill>
      <patternFill patternType="none"/>
    </fill>
    <fill>
      <patternFill patternType="gray125"/>
    </fill>
    <fill>
      <patternFill patternType="solid">
        <fgColor rgb="FFFFFFCC"/>
      </patternFill>
    </fill>
    <fill>
      <patternFill patternType="solid">
        <fgColor theme="9" tint="0.79998168889431442"/>
        <bgColor indexed="64"/>
      </patternFill>
    </fill>
    <fill>
      <patternFill patternType="solid">
        <fgColor rgb="FFFFEB9C"/>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rgb="FFC8E6C8"/>
        <bgColor indexed="64"/>
      </patternFill>
    </fill>
    <fill>
      <patternFill patternType="solid">
        <fgColor rgb="FFFFFFFF"/>
        <bgColor indexed="64"/>
      </patternFill>
    </fill>
    <fill>
      <patternFill patternType="solid">
        <fgColor rgb="FFF2F2F2"/>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EEFC6"/>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rgb="FFB2B2B2"/>
      </left>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bottom/>
      <diagonal/>
    </border>
    <border>
      <left/>
      <right/>
      <top/>
      <bottom style="medium">
        <color theme="4" tint="0.39997558519241921"/>
      </bottom>
      <diagonal/>
    </border>
    <border>
      <left style="thin">
        <color rgb="FFB2B2B2"/>
      </left>
      <right style="thin">
        <color rgb="FFB2B2B2"/>
      </right>
      <top/>
      <bottom/>
      <diagonal/>
    </border>
    <border>
      <left style="thin">
        <color indexed="64"/>
      </left>
      <right/>
      <top/>
      <bottom/>
      <diagonal/>
    </border>
  </borders>
  <cellStyleXfs count="15">
    <xf numFmtId="0" fontId="0" fillId="0" borderId="0"/>
    <xf numFmtId="9" fontId="2" fillId="0" borderId="0"/>
    <xf numFmtId="44" fontId="2" fillId="0" borderId="0"/>
    <xf numFmtId="42" fontId="2" fillId="0" borderId="0"/>
    <xf numFmtId="43" fontId="2" fillId="0" borderId="0"/>
    <xf numFmtId="41" fontId="2" fillId="0" borderId="0"/>
    <xf numFmtId="0" fontId="4" fillId="2" borderId="1"/>
    <xf numFmtId="0" fontId="1" fillId="0" borderId="0"/>
    <xf numFmtId="0" fontId="5" fillId="0" borderId="0"/>
    <xf numFmtId="0" fontId="1" fillId="0" borderId="0"/>
    <xf numFmtId="0" fontId="7" fillId="0" borderId="0"/>
    <xf numFmtId="0" fontId="8" fillId="13" borderId="13"/>
    <xf numFmtId="0" fontId="5" fillId="0" borderId="15"/>
    <xf numFmtId="0" fontId="9" fillId="4" borderId="0"/>
    <xf numFmtId="0" fontId="11" fillId="0" borderId="0"/>
  </cellStyleXfs>
  <cellXfs count="80">
    <xf numFmtId="0" fontId="0" fillId="0" borderId="0" xfId="0"/>
    <xf numFmtId="0" fontId="0" fillId="0" borderId="0" xfId="0" applyAlignment="1">
      <alignment vertical="center"/>
    </xf>
    <xf numFmtId="0" fontId="3" fillId="0" borderId="0" xfId="0" applyFont="1" applyAlignment="1">
      <alignment vertical="center"/>
    </xf>
    <xf numFmtId="0" fontId="0" fillId="0" borderId="2" xfId="0" applyBorder="1"/>
    <xf numFmtId="0" fontId="0" fillId="2" borderId="1" xfId="6" applyFont="1" applyAlignment="1">
      <alignment horizontal="left"/>
    </xf>
    <xf numFmtId="0" fontId="0" fillId="2" borderId="1" xfId="6" applyFont="1"/>
    <xf numFmtId="0" fontId="5" fillId="4" borderId="3" xfId="8" applyFill="1" applyBorder="1" applyAlignment="1">
      <alignment horizontal="left"/>
    </xf>
    <xf numFmtId="0" fontId="6" fillId="0" borderId="2" xfId="0" applyFont="1" applyBorder="1"/>
    <xf numFmtId="0" fontId="6" fillId="3" borderId="2" xfId="0" applyFont="1" applyFill="1" applyBorder="1"/>
    <xf numFmtId="0" fontId="5" fillId="4" borderId="2" xfId="8" applyFill="1" applyBorder="1" applyAlignment="1">
      <alignment horizontal="left"/>
    </xf>
    <xf numFmtId="0" fontId="0" fillId="2" borderId="2" xfId="6" applyFont="1" applyBorder="1" applyAlignment="1">
      <alignment horizontal="right"/>
    </xf>
    <xf numFmtId="0" fontId="0" fillId="0" borderId="2" xfId="0" applyBorder="1" applyAlignment="1">
      <alignment horizontal="left"/>
    </xf>
    <xf numFmtId="0" fontId="0" fillId="0" borderId="2" xfId="0" applyBorder="1" applyAlignment="1">
      <alignment horizontal="right"/>
    </xf>
    <xf numFmtId="0" fontId="0" fillId="5" borderId="0" xfId="0" applyFill="1"/>
    <xf numFmtId="0" fontId="6" fillId="3" borderId="4" xfId="0" applyFont="1" applyFill="1" applyBorder="1"/>
    <xf numFmtId="0" fontId="6" fillId="0" borderId="0" xfId="0" applyFont="1"/>
    <xf numFmtId="0" fontId="6" fillId="3" borderId="5" xfId="0" applyFont="1" applyFill="1" applyBorder="1"/>
    <xf numFmtId="0" fontId="6" fillId="6" borderId="5" xfId="0" applyFont="1" applyFill="1" applyBorder="1"/>
    <xf numFmtId="0" fontId="0" fillId="0" borderId="5" xfId="0" applyBorder="1"/>
    <xf numFmtId="0" fontId="5" fillId="7" borderId="6" xfId="8" applyFill="1" applyBorder="1" applyAlignment="1">
      <alignment horizontal="left"/>
    </xf>
    <xf numFmtId="0" fontId="0" fillId="0" borderId="7" xfId="0" applyBorder="1"/>
    <xf numFmtId="0" fontId="0" fillId="0" borderId="8" xfId="0" applyBorder="1"/>
    <xf numFmtId="0" fontId="5" fillId="4" borderId="6" xfId="8" applyFill="1" applyBorder="1" applyAlignment="1">
      <alignment horizontal="left"/>
    </xf>
    <xf numFmtId="0" fontId="5" fillId="6" borderId="6" xfId="8" applyFill="1" applyBorder="1" applyAlignment="1">
      <alignment horizontal="left"/>
    </xf>
    <xf numFmtId="0" fontId="5" fillId="7" borderId="10" xfId="8" applyFill="1" applyBorder="1" applyAlignment="1">
      <alignment horizontal="left"/>
    </xf>
    <xf numFmtId="0" fontId="5" fillId="8" borderId="0" xfId="8" applyFill="1" applyAlignment="1">
      <alignment horizontal="left"/>
    </xf>
    <xf numFmtId="0" fontId="0" fillId="0" borderId="0" xfId="0" applyAlignment="1">
      <alignment horizontal="left"/>
    </xf>
    <xf numFmtId="0" fontId="0" fillId="2" borderId="11" xfId="6" applyFont="1" applyBorder="1" applyAlignment="1">
      <alignment horizontal="left"/>
    </xf>
    <xf numFmtId="0" fontId="0" fillId="9" borderId="7" xfId="0" applyFill="1" applyBorder="1"/>
    <xf numFmtId="0" fontId="0" fillId="9" borderId="8" xfId="0" applyFill="1" applyBorder="1"/>
    <xf numFmtId="0" fontId="5" fillId="8" borderId="6" xfId="8" applyFill="1" applyBorder="1" applyAlignment="1">
      <alignment horizontal="left"/>
    </xf>
    <xf numFmtId="11" fontId="0" fillId="2" borderId="1" xfId="6" applyNumberFormat="1" applyFont="1" applyAlignment="1">
      <alignment horizontal="left"/>
    </xf>
    <xf numFmtId="0" fontId="0" fillId="10" borderId="0" xfId="0" applyFill="1" applyAlignment="1">
      <alignment horizontal="left"/>
    </xf>
    <xf numFmtId="0" fontId="0" fillId="10" borderId="0" xfId="0" applyFill="1"/>
    <xf numFmtId="0" fontId="0" fillId="0" borderId="9" xfId="0" applyBorder="1"/>
    <xf numFmtId="0" fontId="0" fillId="2" borderId="2" xfId="6" applyFont="1" applyBorder="1" applyAlignment="1">
      <alignment horizontal="left"/>
    </xf>
    <xf numFmtId="0" fontId="0" fillId="11" borderId="2" xfId="0" applyFill="1" applyBorder="1" applyAlignment="1">
      <alignment horizontal="left"/>
    </xf>
    <xf numFmtId="0" fontId="0" fillId="12" borderId="2" xfId="0" applyFill="1" applyBorder="1" applyAlignment="1">
      <alignment horizontal="left"/>
    </xf>
    <xf numFmtId="0" fontId="0" fillId="12" borderId="2" xfId="0" applyFill="1" applyBorder="1"/>
    <xf numFmtId="0" fontId="8" fillId="13" borderId="2" xfId="11" applyBorder="1"/>
    <xf numFmtId="0" fontId="0" fillId="2" borderId="5" xfId="6" applyFont="1" applyBorder="1" applyAlignment="1">
      <alignment horizontal="left"/>
    </xf>
    <xf numFmtId="0" fontId="0" fillId="0" borderId="4" xfId="0" applyBorder="1"/>
    <xf numFmtId="0" fontId="0" fillId="12" borderId="6" xfId="0" applyFill="1" applyBorder="1" applyAlignment="1">
      <alignment horizontal="left"/>
    </xf>
    <xf numFmtId="0" fontId="0" fillId="11" borderId="14" xfId="0" applyFill="1" applyBorder="1" applyAlignment="1">
      <alignment horizontal="left"/>
    </xf>
    <xf numFmtId="0" fontId="0" fillId="0" borderId="14" xfId="0" applyBorder="1" applyAlignment="1">
      <alignment horizontal="left"/>
    </xf>
    <xf numFmtId="0" fontId="0" fillId="2" borderId="16" xfId="6" applyFont="1" applyBorder="1" applyAlignment="1">
      <alignment horizontal="left"/>
    </xf>
    <xf numFmtId="0" fontId="0" fillId="2" borderId="6" xfId="6" applyFont="1" applyBorder="1" applyAlignment="1">
      <alignment horizontal="left"/>
    </xf>
    <xf numFmtId="0" fontId="5" fillId="13" borderId="2" xfId="12" applyFill="1" applyBorder="1" applyAlignment="1">
      <alignment horizontal="left"/>
    </xf>
    <xf numFmtId="0" fontId="5" fillId="6" borderId="14" xfId="8" applyFill="1" applyBorder="1" applyAlignment="1">
      <alignment horizontal="left"/>
    </xf>
    <xf numFmtId="0" fontId="5" fillId="7" borderId="14" xfId="8" applyFill="1" applyBorder="1" applyAlignment="1">
      <alignment horizontal="left"/>
    </xf>
    <xf numFmtId="0" fontId="5" fillId="7" borderId="17" xfId="8" applyFill="1" applyBorder="1" applyAlignment="1">
      <alignment horizontal="left"/>
    </xf>
    <xf numFmtId="0" fontId="5" fillId="8" borderId="14" xfId="8" applyFill="1" applyBorder="1" applyAlignment="1">
      <alignment horizontal="left"/>
    </xf>
    <xf numFmtId="0" fontId="5" fillId="4" borderId="14" xfId="8" applyFill="1" applyBorder="1" applyAlignment="1">
      <alignment horizontal="left"/>
    </xf>
    <xf numFmtId="0" fontId="4" fillId="2" borderId="2" xfId="6" applyBorder="1"/>
    <xf numFmtId="11" fontId="0" fillId="2" borderId="2" xfId="6" applyNumberFormat="1" applyFont="1" applyBorder="1" applyAlignment="1">
      <alignment horizontal="left"/>
    </xf>
    <xf numFmtId="0" fontId="9" fillId="4" borderId="0" xfId="13"/>
    <xf numFmtId="0" fontId="10" fillId="0" borderId="0" xfId="0" applyFont="1"/>
    <xf numFmtId="0" fontId="0" fillId="14" borderId="0" xfId="0" applyFill="1"/>
    <xf numFmtId="0" fontId="3" fillId="14" borderId="0" xfId="0" applyFont="1" applyFill="1"/>
    <xf numFmtId="0" fontId="3" fillId="14" borderId="0" xfId="0" applyFont="1" applyFill="1" applyAlignment="1">
      <alignment horizontal="left"/>
    </xf>
    <xf numFmtId="0" fontId="0" fillId="0" borderId="2" xfId="6" applyFont="1" applyFill="1" applyBorder="1" applyAlignment="1">
      <alignment horizontal="left"/>
    </xf>
    <xf numFmtId="0" fontId="8" fillId="0" borderId="2" xfId="11" applyFill="1" applyBorder="1"/>
    <xf numFmtId="0" fontId="0" fillId="15" borderId="0" xfId="0" applyFill="1"/>
    <xf numFmtId="0" fontId="8" fillId="15" borderId="2" xfId="11" applyFill="1" applyBorder="1"/>
    <xf numFmtId="0" fontId="0" fillId="15" borderId="2" xfId="0" applyFill="1" applyBorder="1"/>
    <xf numFmtId="0" fontId="0" fillId="15" borderId="4" xfId="0" applyFill="1" applyBorder="1"/>
    <xf numFmtId="0" fontId="10" fillId="15" borderId="0" xfId="0" applyFont="1" applyFill="1"/>
    <xf numFmtId="0" fontId="11" fillId="10" borderId="0" xfId="14" applyFill="1" applyAlignment="1">
      <alignment horizontal="left"/>
    </xf>
    <xf numFmtId="0" fontId="0" fillId="16" borderId="0" xfId="0" applyFill="1"/>
    <xf numFmtId="0" fontId="0" fillId="12" borderId="0" xfId="0" applyFill="1"/>
    <xf numFmtId="0" fontId="0" fillId="2" borderId="0" xfId="6" applyFont="1" applyBorder="1" applyAlignment="1">
      <alignment horizontal="left"/>
    </xf>
    <xf numFmtId="0" fontId="12" fillId="0" borderId="2" xfId="0" applyFont="1" applyBorder="1"/>
    <xf numFmtId="0" fontId="12" fillId="0" borderId="4" xfId="0" applyFont="1" applyBorder="1"/>
    <xf numFmtId="22" fontId="0" fillId="0" borderId="0" xfId="0" applyNumberFormat="1"/>
    <xf numFmtId="0" fontId="4" fillId="2" borderId="1" xfId="6"/>
    <xf numFmtId="0" fontId="0" fillId="17" borderId="2" xfId="0" applyFill="1" applyBorder="1"/>
    <xf numFmtId="0" fontId="0" fillId="0" borderId="12" xfId="0" applyBorder="1" applyAlignment="1">
      <alignment horizontal="left"/>
    </xf>
    <xf numFmtId="0" fontId="0" fillId="0" borderId="8" xfId="0" applyBorder="1"/>
    <xf numFmtId="0" fontId="0" fillId="0" borderId="9" xfId="0" applyBorder="1"/>
    <xf numFmtId="0" fontId="0" fillId="0" borderId="12" xfId="0" applyBorder="1" applyAlignment="1">
      <alignment horizont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xfId="12" builtinId="18"/>
    <cellStyle name="Heading 4" xfId="8" builtinId="19"/>
    <cellStyle name="Hyperlink" xfId="14" builtinId="8"/>
    <cellStyle name="Neutral" xfId="13" builtinId="28"/>
    <cellStyle name="Normal" xfId="0" builtinId="0"/>
    <cellStyle name="Normal 2" xfId="7" xr:uid="{00000000-0005-0000-0000-000007000000}"/>
    <cellStyle name="Normal 3" xfId="9" xr:uid="{00000000-0005-0000-0000-000009000000}"/>
    <cellStyle name="Note" xfId="6" builtinId="10"/>
    <cellStyle name="Output" xfId="11" builtinId="21"/>
    <cellStyle name="Percent" xfId="1" xr:uid="{00000000-0005-0000-0000-000001000000}"/>
    <cellStyle name="Standaard 2" xfId="10" xr:uid="{00000000-0005-0000-0000-00000A000000}"/>
  </cellStyles>
  <dxfs count="56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14568</xdr:colOff>
      <xdr:row>8</xdr:row>
      <xdr:rowOff>45384</xdr:rowOff>
    </xdr:from>
    <xdr:to>
      <xdr:col>1</xdr:col>
      <xdr:colOff>1014693</xdr:colOff>
      <xdr:row>9</xdr:row>
      <xdr:rowOff>148478</xdr:rowOff>
    </xdr:to>
    <xdr:sp macro="[0]!ToggleSoilProfile" textlink="">
      <xdr:nvSpPr>
        <xdr:cNvPr id="4" name="brn_Button1027">
          <a:extLst>
            <a:ext uri="{FF2B5EF4-FFF2-40B4-BE49-F238E27FC236}">
              <a16:creationId xmlns:a16="http://schemas.microsoft.com/office/drawing/2014/main" id="{C5E8B8B1-126C-0B08-36D0-73BB967BE7D0}"/>
            </a:ext>
          </a:extLst>
        </xdr:cNvPr>
        <xdr:cNvSpPr/>
      </xdr:nvSpPr>
      <xdr:spPr>
        <a:xfrm>
          <a:off x="361950" y="1670237"/>
          <a:ext cx="1000125" cy="304800"/>
        </a:xfrm>
        <a:prstGeom prst="rect">
          <a:avLst/>
        </a:prstGeom>
        <a:solidFill>
          <a:srgbClr val="795548"/>
        </a:solidFill>
        <a:ln w="12700">
          <a:solidFill>
            <a:srgbClr val="5D4037"/>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100" b="1">
              <a:solidFill>
                <a:srgbClr val="FFFFFF"/>
              </a:solidFill>
              <a:latin typeface="Segoe UI" panose="020B0502040204020203" pitchFamily="34" charset="0"/>
            </a:rPr>
            <a:t>≡ Soil </a:t>
          </a:r>
        </a:p>
      </xdr:txBody>
    </xdr:sp>
    <xdr:clientData/>
  </xdr:twoCellAnchor>
  <xdr:twoCellAnchor editAs="absolute">
    <xdr:from>
      <xdr:col>19</xdr:col>
      <xdr:colOff>842122</xdr:colOff>
      <xdr:row>1</xdr:row>
      <xdr:rowOff>169769</xdr:rowOff>
    </xdr:from>
    <xdr:to>
      <xdr:col>21</xdr:col>
      <xdr:colOff>615203</xdr:colOff>
      <xdr:row>3</xdr:row>
      <xdr:rowOff>155201</xdr:rowOff>
    </xdr:to>
    <xdr:sp macro="[0]!plaxis_py" textlink="">
      <xdr:nvSpPr>
        <xdr:cNvPr id="6" name="brn_Button1030">
          <a:extLst>
            <a:ext uri="{FF2B5EF4-FFF2-40B4-BE49-F238E27FC236}">
              <a16:creationId xmlns:a16="http://schemas.microsoft.com/office/drawing/2014/main" id="{68B643D3-0C2F-EB19-AA04-3C0524FAC08A}"/>
            </a:ext>
          </a:extLst>
        </xdr:cNvPr>
        <xdr:cNvSpPr/>
      </xdr:nvSpPr>
      <xdr:spPr>
        <a:xfrm>
          <a:off x="15230475" y="371475"/>
          <a:ext cx="1476375" cy="400050"/>
        </a:xfrm>
        <a:prstGeom prst="rect">
          <a:avLst/>
        </a:prstGeom>
        <a:solidFill>
          <a:srgbClr val="795548"/>
        </a:solidFill>
        <a:ln w="12700">
          <a:solidFill>
            <a:srgbClr val="5D4037"/>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100" b="1">
              <a:solidFill>
                <a:srgbClr val="FFFFFF"/>
              </a:solidFill>
              <a:latin typeface="Segoe UI" panose="020B0502040204020203" pitchFamily="34" charset="0"/>
            </a:rPr>
            <a:t>Plaxis Python</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295275</xdr:colOff>
          <xdr:row>0</xdr:row>
          <xdr:rowOff>180975</xdr:rowOff>
        </xdr:from>
        <xdr:to>
          <xdr:col>1</xdr:col>
          <xdr:colOff>2105025</xdr:colOff>
          <xdr:row>2</xdr:row>
          <xdr:rowOff>180975</xdr:rowOff>
        </xdr:to>
        <xdr:sp macro="" textlink="">
          <xdr:nvSpPr>
            <xdr:cNvPr id="131075" name="Button 3" hidden="1">
              <a:extLst>
                <a:ext uri="{63B3BB69-23CF-44E3-9099-C40C66FF867C}">
                  <a14:compatExt spid="_x0000_s131075"/>
                </a:ext>
                <a:ext uri="{FF2B5EF4-FFF2-40B4-BE49-F238E27FC236}">
                  <a16:creationId xmlns:a16="http://schemas.microsoft.com/office/drawing/2014/main" id="{00000000-0008-0000-0200-000003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 Extract DXF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171450</xdr:rowOff>
        </xdr:from>
        <xdr:to>
          <xdr:col>5</xdr:col>
          <xdr:colOff>447675</xdr:colOff>
          <xdr:row>2</xdr:row>
          <xdr:rowOff>171450</xdr:rowOff>
        </xdr:to>
        <xdr:sp macro="" textlink="">
          <xdr:nvSpPr>
            <xdr:cNvPr id="131076" name="Button 4" hidden="1">
              <a:extLst>
                <a:ext uri="{63B3BB69-23CF-44E3-9099-C40C66FF867C}">
                  <a14:compatExt spid="_x0000_s131076"/>
                </a:ext>
                <a:ext uri="{FF2B5EF4-FFF2-40B4-BE49-F238E27FC236}">
                  <a16:creationId xmlns:a16="http://schemas.microsoft.com/office/drawing/2014/main" id="{00000000-0008-0000-0200-0000040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Plaxis  STR  Generator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114300</xdr:rowOff>
        </xdr:from>
        <xdr:to>
          <xdr:col>1</xdr:col>
          <xdr:colOff>1885950</xdr:colOff>
          <xdr:row>2</xdr:row>
          <xdr:rowOff>171450</xdr:rowOff>
        </xdr:to>
        <xdr:sp macro="" textlink="">
          <xdr:nvSpPr>
            <xdr:cNvPr id="134146" name="Button 2" hidden="1">
              <a:extLst>
                <a:ext uri="{63B3BB69-23CF-44E3-9099-C40C66FF867C}">
                  <a14:compatExt spid="_x0000_s134146"/>
                </a:ext>
                <a:ext uri="{FF2B5EF4-FFF2-40B4-BE49-F238E27FC236}">
                  <a16:creationId xmlns:a16="http://schemas.microsoft.com/office/drawing/2014/main" id="{00000000-0008-0000-0300-000002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Plaxis Staging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0</xdr:row>
          <xdr:rowOff>114300</xdr:rowOff>
        </xdr:from>
        <xdr:to>
          <xdr:col>0</xdr:col>
          <xdr:colOff>657225</xdr:colOff>
          <xdr:row>2</xdr:row>
          <xdr:rowOff>171450</xdr:rowOff>
        </xdr:to>
        <xdr:sp macro="" textlink="">
          <xdr:nvSpPr>
            <xdr:cNvPr id="134153" name="Button 9" hidden="1">
              <a:extLst>
                <a:ext uri="{63B3BB69-23CF-44E3-9099-C40C66FF867C}">
                  <a14:compatExt spid="_x0000_s134153"/>
                </a:ext>
                <a:ext uri="{FF2B5EF4-FFF2-40B4-BE49-F238E27FC236}">
                  <a16:creationId xmlns:a16="http://schemas.microsoft.com/office/drawing/2014/main" id="{00000000-0008-0000-0300-0000090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Hide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76200</xdr:rowOff>
        </xdr:from>
        <xdr:to>
          <xdr:col>0</xdr:col>
          <xdr:colOff>647700</xdr:colOff>
          <xdr:row>2</xdr:row>
          <xdr:rowOff>133350</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00000000-0008-0000-0400-0000012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0</xdr:row>
          <xdr:rowOff>66675</xdr:rowOff>
        </xdr:from>
        <xdr:to>
          <xdr:col>1</xdr:col>
          <xdr:colOff>1400175</xdr:colOff>
          <xdr:row>2</xdr:row>
          <xdr:rowOff>152400</xdr:rowOff>
        </xdr:to>
        <xdr:sp macro="" textlink="">
          <xdr:nvSpPr>
            <xdr:cNvPr id="139268" name="Button 4" hidden="1">
              <a:extLst>
                <a:ext uri="{63B3BB69-23CF-44E3-9099-C40C66FF867C}">
                  <a14:compatExt spid="_x0000_s139268"/>
                </a:ext>
                <a:ext uri="{FF2B5EF4-FFF2-40B4-BE49-F238E27FC236}">
                  <a16:creationId xmlns:a16="http://schemas.microsoft.com/office/drawing/2014/main" id="{00000000-0008-0000-0400-0000042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Curve Points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190500</xdr:colOff>
      <xdr:row>14</xdr:row>
      <xdr:rowOff>50182</xdr:rowOff>
    </xdr:from>
    <xdr:to>
      <xdr:col>12</xdr:col>
      <xdr:colOff>371475</xdr:colOff>
      <xdr:row>29</xdr:row>
      <xdr:rowOff>83981</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5038725" y="2650507"/>
          <a:ext cx="5667375" cy="3034174"/>
        </a:xfrm>
        <a:prstGeom prst="rect">
          <a:avLst/>
        </a:prstGeom>
        <a:ln>
          <a:prstDash val="solid"/>
        </a:ln>
      </xdr:spPr>
    </xdr:pic>
    <xdr:clientData/>
  </xdr:twoCellAnchor>
  <xdr:twoCellAnchor editAs="oneCell">
    <xdr:from>
      <xdr:col>9</xdr:col>
      <xdr:colOff>409575</xdr:colOff>
      <xdr:row>14</xdr:row>
      <xdr:rowOff>114736</xdr:rowOff>
    </xdr:from>
    <xdr:to>
      <xdr:col>15</xdr:col>
      <xdr:colOff>277503</xdr:colOff>
      <xdr:row>29</xdr:row>
      <xdr:rowOff>48566</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a:stretch>
          <a:fillRect/>
        </a:stretch>
      </xdr:blipFill>
      <xdr:spPr>
        <a:xfrm>
          <a:off x="8686800" y="2715061"/>
          <a:ext cx="3982728" cy="2934205"/>
        </a:xfrm>
        <a:prstGeom prst="rect">
          <a:avLst/>
        </a:prstGeom>
        <a:ln>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Sm$eyE+v$@%5e4%3eHxA"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tabColor theme="4" tint="0.79998168889431442"/>
  </sheetPr>
  <dimension ref="A2:AJ346"/>
  <sheetViews>
    <sheetView showGridLines="0" topLeftCell="I1" zoomScale="85" zoomScaleNormal="85" workbookViewId="0">
      <selection activeCell="K107" sqref="K107"/>
    </sheetView>
  </sheetViews>
  <sheetFormatPr defaultRowHeight="15.75" outlineLevelRow="1" x14ac:dyDescent="0.25"/>
  <cols>
    <col min="1" max="1" width="4.5" customWidth="1"/>
    <col min="2" max="2" width="14.125" bestFit="1" customWidth="1"/>
    <col min="3" max="3" width="19.375" customWidth="1"/>
    <col min="5" max="5" width="10" bestFit="1" customWidth="1"/>
    <col min="6" max="6" width="10.5" customWidth="1"/>
    <col min="10" max="10" width="11.5" bestFit="1" customWidth="1"/>
    <col min="17" max="17" width="9" customWidth="1"/>
    <col min="19" max="19" width="11.125" bestFit="1" customWidth="1"/>
    <col min="20" max="21" width="11.125" customWidth="1"/>
    <col min="25" max="25" width="9.875" bestFit="1" customWidth="1"/>
    <col min="29" max="29" width="12.375" bestFit="1" customWidth="1"/>
    <col min="32" max="32" width="10.5" bestFit="1" customWidth="1"/>
  </cols>
  <sheetData>
    <row r="2" spans="1:36" ht="16.5" customHeight="1" x14ac:dyDescent="0.3">
      <c r="B2" s="9" t="s">
        <v>0</v>
      </c>
      <c r="C2" s="9" t="s">
        <v>1</v>
      </c>
      <c r="D2" s="9" t="s">
        <v>2</v>
      </c>
      <c r="F2" s="9" t="s">
        <v>0</v>
      </c>
      <c r="G2" s="9" t="s">
        <v>1</v>
      </c>
      <c r="H2" s="9" t="s">
        <v>2</v>
      </c>
    </row>
    <row r="3" spans="1:36" x14ac:dyDescent="0.25">
      <c r="B3" s="3" t="s">
        <v>3</v>
      </c>
      <c r="C3" s="10">
        <v>5</v>
      </c>
      <c r="D3" s="3" t="s">
        <v>4</v>
      </c>
      <c r="F3" s="11" t="s">
        <v>5</v>
      </c>
      <c r="G3" s="10">
        <v>4</v>
      </c>
      <c r="H3" s="3" t="s">
        <v>4</v>
      </c>
    </row>
    <row r="4" spans="1:36" x14ac:dyDescent="0.25">
      <c r="B4" s="3" t="s">
        <v>8</v>
      </c>
      <c r="C4" s="12">
        <f>MAX(C3-G3,0)</f>
        <v>1</v>
      </c>
      <c r="D4" s="3" t="s">
        <v>9</v>
      </c>
      <c r="F4" s="11" t="s">
        <v>10</v>
      </c>
      <c r="G4" s="10">
        <v>0</v>
      </c>
      <c r="H4" s="12" t="s">
        <v>9</v>
      </c>
    </row>
    <row r="5" spans="1:36" x14ac:dyDescent="0.25">
      <c r="F5" s="11" t="s">
        <v>11</v>
      </c>
      <c r="G5" s="10">
        <v>-80</v>
      </c>
      <c r="H5" s="12" t="s">
        <v>9</v>
      </c>
      <c r="U5" t="s">
        <v>13</v>
      </c>
      <c r="V5" s="32">
        <v>10000</v>
      </c>
      <c r="W5" s="33"/>
      <c r="X5" s="33"/>
    </row>
    <row r="6" spans="1:36" x14ac:dyDescent="0.25">
      <c r="F6" s="11" t="s">
        <v>14</v>
      </c>
      <c r="G6" s="10">
        <v>240</v>
      </c>
      <c r="H6" s="12" t="s">
        <v>9</v>
      </c>
      <c r="U6" t="s">
        <v>16</v>
      </c>
      <c r="V6" s="67" t="s">
        <v>17</v>
      </c>
      <c r="W6" s="33"/>
      <c r="X6" s="33"/>
    </row>
    <row r="7" spans="1:36" x14ac:dyDescent="0.25">
      <c r="F7" s="11" t="s">
        <v>18</v>
      </c>
      <c r="G7" s="10">
        <v>5</v>
      </c>
      <c r="H7" s="12" t="s">
        <v>9</v>
      </c>
    </row>
    <row r="8" spans="1:36" x14ac:dyDescent="0.25">
      <c r="F8" s="11" t="s">
        <v>19</v>
      </c>
      <c r="G8" s="10" t="s">
        <v>20</v>
      </c>
      <c r="H8" s="12" t="s">
        <v>7</v>
      </c>
    </row>
    <row r="10" spans="1:36" ht="15" customHeight="1" thickBot="1" x14ac:dyDescent="0.3"/>
    <row r="11" spans="1:36" ht="16.5" customHeight="1" thickBot="1" x14ac:dyDescent="0.3">
      <c r="A11" s="18"/>
      <c r="B11" s="79" t="s">
        <v>22</v>
      </c>
      <c r="C11" s="77"/>
      <c r="D11" s="77"/>
      <c r="E11" s="77"/>
      <c r="F11" s="77"/>
      <c r="G11" s="77"/>
      <c r="H11" s="77"/>
      <c r="I11" s="77"/>
      <c r="J11" s="77"/>
      <c r="K11" s="77"/>
      <c r="L11" s="77"/>
      <c r="M11" s="78"/>
      <c r="N11" s="20" t="s">
        <v>23</v>
      </c>
      <c r="O11" s="21"/>
      <c r="P11" s="21"/>
      <c r="Q11" s="21"/>
      <c r="R11" s="21"/>
      <c r="S11" s="21"/>
      <c r="T11" s="28" t="s">
        <v>24</v>
      </c>
      <c r="U11" s="29"/>
      <c r="V11" s="29"/>
      <c r="W11" s="29"/>
      <c r="X11" s="20" t="s">
        <v>25</v>
      </c>
      <c r="Y11" s="21"/>
      <c r="Z11" s="34"/>
      <c r="AA11" s="20" t="s">
        <v>26</v>
      </c>
      <c r="AB11" s="21"/>
      <c r="AC11" s="34"/>
      <c r="AD11" s="76" t="s">
        <v>27</v>
      </c>
      <c r="AE11" s="77"/>
      <c r="AF11" s="77"/>
      <c r="AG11" s="77"/>
      <c r="AH11" s="77"/>
      <c r="AI11" s="77"/>
      <c r="AJ11" s="78"/>
    </row>
    <row r="12" spans="1:36" ht="16.5" customHeight="1" x14ac:dyDescent="0.3">
      <c r="A12" s="17"/>
      <c r="B12" s="23" t="s">
        <v>28</v>
      </c>
      <c r="C12" s="23" t="s">
        <v>29</v>
      </c>
      <c r="D12" s="23" t="s">
        <v>30</v>
      </c>
      <c r="E12" s="23" t="s">
        <v>31</v>
      </c>
      <c r="F12" s="23" t="s">
        <v>32</v>
      </c>
      <c r="G12" s="23" t="s">
        <v>33</v>
      </c>
      <c r="H12" s="23" t="s">
        <v>34</v>
      </c>
      <c r="I12" s="23" t="s">
        <v>35</v>
      </c>
      <c r="J12" s="23" t="s">
        <v>36</v>
      </c>
      <c r="K12" s="23" t="s">
        <v>37</v>
      </c>
      <c r="L12" s="23" t="s">
        <v>38</v>
      </c>
      <c r="M12" s="23" t="s">
        <v>39</v>
      </c>
      <c r="N12" s="19" t="s">
        <v>40</v>
      </c>
      <c r="O12" s="19" t="s">
        <v>9</v>
      </c>
      <c r="P12" s="19" t="s">
        <v>41</v>
      </c>
      <c r="Q12" s="19" t="s">
        <v>42</v>
      </c>
      <c r="R12" s="19" t="s">
        <v>43</v>
      </c>
      <c r="S12" s="24" t="s">
        <v>44</v>
      </c>
      <c r="T12" s="25" t="s">
        <v>45</v>
      </c>
      <c r="U12" s="25" t="s">
        <v>46</v>
      </c>
      <c r="V12" s="30" t="s">
        <v>47</v>
      </c>
      <c r="W12" s="30" t="s">
        <v>48</v>
      </c>
      <c r="X12" s="22" t="s">
        <v>49</v>
      </c>
      <c r="Y12" s="22" t="s">
        <v>50</v>
      </c>
      <c r="Z12" s="22" t="s">
        <v>51</v>
      </c>
      <c r="AA12" s="22" t="s">
        <v>52</v>
      </c>
      <c r="AB12" s="22" t="s">
        <v>53</v>
      </c>
      <c r="AC12" s="22" t="s">
        <v>54</v>
      </c>
      <c r="AD12" s="24" t="s">
        <v>55</v>
      </c>
      <c r="AE12" s="19" t="s">
        <v>56</v>
      </c>
      <c r="AF12" s="19" t="s">
        <v>57</v>
      </c>
      <c r="AG12" s="19" t="s">
        <v>58</v>
      </c>
      <c r="AH12" s="19" t="s">
        <v>59</v>
      </c>
      <c r="AI12" s="23" t="s">
        <v>60</v>
      </c>
      <c r="AJ12" s="23" t="s">
        <v>61</v>
      </c>
    </row>
    <row r="13" spans="1:36" x14ac:dyDescent="0.25">
      <c r="A13" s="16"/>
      <c r="B13" s="3" t="s">
        <v>62</v>
      </c>
      <c r="C13" s="4" t="s">
        <v>63</v>
      </c>
      <c r="D13" s="4">
        <v>18</v>
      </c>
      <c r="E13" s="4">
        <v>18</v>
      </c>
      <c r="F13" s="4">
        <v>0</v>
      </c>
      <c r="G13" s="4">
        <v>4</v>
      </c>
      <c r="J13" s="4">
        <v>5</v>
      </c>
      <c r="K13" s="4">
        <v>25</v>
      </c>
      <c r="L13" s="4">
        <v>0</v>
      </c>
      <c r="M13" s="4">
        <v>0.8</v>
      </c>
      <c r="O13" s="4">
        <v>0.5</v>
      </c>
      <c r="P13" s="4">
        <v>100</v>
      </c>
      <c r="Q13" s="4">
        <v>75614</v>
      </c>
      <c r="R13" s="4">
        <v>75614</v>
      </c>
      <c r="S13" s="4">
        <v>226842</v>
      </c>
      <c r="T13" s="4">
        <v>256560</v>
      </c>
      <c r="U13" s="4">
        <v>6.9999999999999994E-5</v>
      </c>
      <c r="X13" s="4">
        <v>1</v>
      </c>
      <c r="Y13" s="4"/>
      <c r="Z13" s="4"/>
      <c r="AA13" s="4"/>
      <c r="AB13" s="4"/>
      <c r="AC13" s="31"/>
      <c r="AD13" s="27" t="s">
        <v>64</v>
      </c>
      <c r="AE13" s="4">
        <v>50</v>
      </c>
      <c r="AF13" s="4">
        <v>20</v>
      </c>
      <c r="AG13" s="31"/>
      <c r="AH13" s="4"/>
      <c r="AI13" s="3">
        <f t="shared" ref="AI13:AI33" si="0">IF(B13="","",$C$3-F13)</f>
        <v>5</v>
      </c>
      <c r="AJ13" s="3">
        <f t="shared" ref="AJ13:AJ33" si="1">IF(C13="","",$C$3-G13)</f>
        <v>1</v>
      </c>
    </row>
    <row r="14" spans="1:36" x14ac:dyDescent="0.25">
      <c r="A14" s="16"/>
      <c r="B14" s="3" t="s">
        <v>62</v>
      </c>
      <c r="C14" s="4" t="s">
        <v>65</v>
      </c>
      <c r="D14" s="4">
        <v>19</v>
      </c>
      <c r="E14" s="4">
        <v>19</v>
      </c>
      <c r="F14" s="4">
        <v>4</v>
      </c>
      <c r="G14" s="4">
        <v>11</v>
      </c>
      <c r="J14" s="4">
        <v>0.1</v>
      </c>
      <c r="K14" s="4">
        <v>39</v>
      </c>
      <c r="L14" s="4">
        <v>0</v>
      </c>
      <c r="M14" s="4">
        <v>0.8</v>
      </c>
      <c r="O14" s="4">
        <v>0.7</v>
      </c>
      <c r="P14" s="4">
        <v>100</v>
      </c>
      <c r="Q14" s="4">
        <v>121617</v>
      </c>
      <c r="R14" s="4">
        <v>121617</v>
      </c>
      <c r="S14" s="4">
        <v>364851</v>
      </c>
      <c r="T14" s="4">
        <v>435570</v>
      </c>
      <c r="U14" s="4">
        <v>1E-4</v>
      </c>
      <c r="X14" s="4">
        <v>1</v>
      </c>
      <c r="Y14" s="4"/>
      <c r="Z14" s="4"/>
      <c r="AA14" s="4"/>
      <c r="AB14" s="4"/>
      <c r="AC14" s="31"/>
      <c r="AD14" s="27" t="s">
        <v>64</v>
      </c>
      <c r="AE14" s="4">
        <v>50</v>
      </c>
      <c r="AF14" s="4">
        <v>40</v>
      </c>
      <c r="AG14" s="31"/>
      <c r="AH14" s="4"/>
      <c r="AI14" s="3">
        <f t="shared" si="0"/>
        <v>1</v>
      </c>
      <c r="AJ14" s="3">
        <f t="shared" si="1"/>
        <v>-6</v>
      </c>
    </row>
    <row r="15" spans="1:36" x14ac:dyDescent="0.25">
      <c r="A15" s="16"/>
      <c r="B15" s="3" t="s">
        <v>66</v>
      </c>
      <c r="C15" s="4" t="s">
        <v>67</v>
      </c>
      <c r="D15" s="4">
        <v>20</v>
      </c>
      <c r="E15" s="4">
        <v>20</v>
      </c>
      <c r="F15" s="4">
        <v>11</v>
      </c>
      <c r="G15" s="4">
        <v>20</v>
      </c>
      <c r="J15" s="4">
        <v>15</v>
      </c>
      <c r="K15" s="4">
        <v>25</v>
      </c>
      <c r="L15" s="4">
        <v>0</v>
      </c>
      <c r="M15" s="4">
        <v>0.8</v>
      </c>
      <c r="O15" s="4">
        <v>0.9</v>
      </c>
      <c r="P15" s="4">
        <v>100</v>
      </c>
      <c r="Q15" s="4">
        <v>162201</v>
      </c>
      <c r="R15" s="4">
        <v>162201</v>
      </c>
      <c r="S15" s="4">
        <v>486603</v>
      </c>
      <c r="T15" s="4">
        <v>305750</v>
      </c>
      <c r="U15" s="4">
        <v>3.3300000000000002E-4</v>
      </c>
      <c r="X15" s="4">
        <v>1</v>
      </c>
      <c r="Y15" s="4"/>
      <c r="Z15" s="4"/>
      <c r="AA15" s="4"/>
      <c r="AB15" s="4"/>
      <c r="AC15" s="4"/>
      <c r="AD15" s="27" t="s">
        <v>68</v>
      </c>
      <c r="AE15" s="31"/>
      <c r="AF15" s="31"/>
      <c r="AG15" s="31"/>
      <c r="AH15" s="4"/>
      <c r="AI15" s="3">
        <f t="shared" si="0"/>
        <v>-6</v>
      </c>
      <c r="AJ15" s="3">
        <f t="shared" si="1"/>
        <v>-15</v>
      </c>
    </row>
    <row r="16" spans="1:36" x14ac:dyDescent="0.25">
      <c r="A16" s="16"/>
      <c r="B16" s="3" t="s">
        <v>66</v>
      </c>
      <c r="C16" s="4" t="s">
        <v>69</v>
      </c>
      <c r="D16" s="4">
        <v>20</v>
      </c>
      <c r="E16" s="4">
        <v>20</v>
      </c>
      <c r="F16" s="4">
        <v>20</v>
      </c>
      <c r="G16" s="4">
        <v>90</v>
      </c>
      <c r="J16" s="4">
        <v>20</v>
      </c>
      <c r="K16" s="4">
        <v>28</v>
      </c>
      <c r="L16" s="4">
        <v>0</v>
      </c>
      <c r="M16" s="4">
        <v>0.8</v>
      </c>
      <c r="O16" s="4">
        <v>0.9</v>
      </c>
      <c r="P16" s="4">
        <v>100</v>
      </c>
      <c r="Q16" s="4">
        <v>135572</v>
      </c>
      <c r="R16" s="4">
        <v>135572</v>
      </c>
      <c r="S16" s="4">
        <v>406716</v>
      </c>
      <c r="T16" s="4">
        <v>255555</v>
      </c>
      <c r="U16" s="4">
        <v>5.7399999999999997E-4</v>
      </c>
      <c r="X16" s="4">
        <v>1</v>
      </c>
      <c r="Y16" s="4"/>
      <c r="Z16" s="4"/>
      <c r="AA16" s="4"/>
      <c r="AB16" s="4"/>
      <c r="AC16" s="4"/>
      <c r="AD16" s="27" t="s">
        <v>68</v>
      </c>
      <c r="AE16" s="31"/>
      <c r="AF16" s="31"/>
      <c r="AG16" s="31"/>
      <c r="AH16" s="4"/>
      <c r="AI16" s="3">
        <f t="shared" si="0"/>
        <v>-15</v>
      </c>
      <c r="AJ16" s="3">
        <f t="shared" si="1"/>
        <v>-85</v>
      </c>
    </row>
    <row r="17" spans="1:36" hidden="1" x14ac:dyDescent="0.25">
      <c r="A17" s="16"/>
      <c r="B17" s="4"/>
      <c r="C17" s="4"/>
      <c r="D17" s="4"/>
      <c r="E17" s="4"/>
      <c r="F17" s="4"/>
      <c r="G17" s="4"/>
      <c r="J17" s="4"/>
      <c r="K17" s="4"/>
      <c r="L17" s="4"/>
      <c r="M17" s="4"/>
      <c r="O17" s="4"/>
      <c r="P17" s="4"/>
      <c r="Q17" s="4"/>
      <c r="R17" s="4"/>
      <c r="S17" s="4"/>
      <c r="T17" s="4"/>
      <c r="U17" s="4"/>
      <c r="X17" s="4"/>
      <c r="Y17" s="4"/>
      <c r="Z17" s="4"/>
      <c r="AA17" s="4"/>
      <c r="AB17" s="4"/>
      <c r="AC17" s="31"/>
      <c r="AD17" s="27"/>
      <c r="AE17" s="31"/>
      <c r="AF17" s="31"/>
      <c r="AG17" s="31"/>
      <c r="AH17" s="4"/>
      <c r="AI17" s="3" t="str">
        <f t="shared" si="0"/>
        <v/>
      </c>
      <c r="AJ17" s="3" t="str">
        <f t="shared" si="1"/>
        <v/>
      </c>
    </row>
    <row r="18" spans="1:36" hidden="1" x14ac:dyDescent="0.25">
      <c r="A18" s="16"/>
      <c r="B18" s="4"/>
      <c r="C18" s="4"/>
      <c r="D18" s="4"/>
      <c r="E18" s="4"/>
      <c r="F18" s="4"/>
      <c r="G18" s="4"/>
      <c r="J18" s="4"/>
      <c r="K18" s="4"/>
      <c r="L18" s="4"/>
      <c r="M18" s="4"/>
      <c r="O18" s="4"/>
      <c r="P18" s="4"/>
      <c r="Q18" s="4"/>
      <c r="R18" s="4"/>
      <c r="S18" s="4"/>
      <c r="T18" s="4"/>
      <c r="U18" s="4"/>
      <c r="X18" s="4"/>
      <c r="Y18" s="4"/>
      <c r="Z18" s="4"/>
      <c r="AA18" s="4"/>
      <c r="AB18" s="4"/>
      <c r="AC18" s="31"/>
      <c r="AD18" s="27"/>
      <c r="AE18" s="31"/>
      <c r="AF18" s="31"/>
      <c r="AG18" s="31"/>
      <c r="AH18" s="4"/>
      <c r="AI18" s="3" t="str">
        <f t="shared" si="0"/>
        <v/>
      </c>
      <c r="AJ18" s="3" t="str">
        <f t="shared" si="1"/>
        <v/>
      </c>
    </row>
    <row r="19" spans="1:36" hidden="1" x14ac:dyDescent="0.25">
      <c r="A19" s="16"/>
      <c r="B19" s="4"/>
      <c r="C19" s="4"/>
      <c r="D19" s="4"/>
      <c r="E19" s="4"/>
      <c r="F19" s="4"/>
      <c r="G19" s="4"/>
      <c r="J19" s="4"/>
      <c r="K19" s="4"/>
      <c r="L19" s="4"/>
      <c r="M19" s="4"/>
      <c r="O19" s="4"/>
      <c r="P19" s="4"/>
      <c r="Q19" s="4"/>
      <c r="R19" s="4"/>
      <c r="S19" s="4"/>
      <c r="T19" s="4"/>
      <c r="U19" s="4"/>
      <c r="X19" s="4"/>
      <c r="Y19" s="4"/>
      <c r="Z19" s="4"/>
      <c r="AA19" s="4"/>
      <c r="AB19" s="4"/>
      <c r="AC19" s="4"/>
      <c r="AD19" s="27"/>
      <c r="AE19" s="31"/>
      <c r="AF19" s="31"/>
      <c r="AG19" s="31"/>
      <c r="AH19" s="4"/>
      <c r="AI19" s="3" t="str">
        <f t="shared" si="0"/>
        <v/>
      </c>
      <c r="AJ19" s="3" t="str">
        <f t="shared" si="1"/>
        <v/>
      </c>
    </row>
    <row r="20" spans="1:36" hidden="1" x14ac:dyDescent="0.25">
      <c r="A20" s="16"/>
      <c r="B20" s="4"/>
      <c r="C20" s="4"/>
      <c r="D20" s="4"/>
      <c r="E20" s="4"/>
      <c r="F20" s="4"/>
      <c r="G20" s="4"/>
      <c r="J20" s="4"/>
      <c r="K20" s="4"/>
      <c r="L20" s="4"/>
      <c r="M20" s="4"/>
      <c r="O20" s="4"/>
      <c r="P20" s="4"/>
      <c r="Q20" s="4"/>
      <c r="R20" s="4"/>
      <c r="S20" s="4"/>
      <c r="T20" s="4"/>
      <c r="U20" s="4"/>
      <c r="X20" s="4"/>
      <c r="Y20" s="4"/>
      <c r="Z20" s="4"/>
      <c r="AA20" s="4"/>
      <c r="AB20" s="4"/>
      <c r="AC20" s="31"/>
      <c r="AD20" s="27"/>
      <c r="AE20" s="31"/>
      <c r="AF20" s="31"/>
      <c r="AG20" s="31"/>
      <c r="AH20" s="4"/>
      <c r="AI20" s="3" t="str">
        <f t="shared" si="0"/>
        <v/>
      </c>
      <c r="AJ20" s="3" t="str">
        <f t="shared" si="1"/>
        <v/>
      </c>
    </row>
    <row r="21" spans="1:36" hidden="1" x14ac:dyDescent="0.25">
      <c r="A21" s="16"/>
      <c r="B21" s="4"/>
      <c r="C21" s="4"/>
      <c r="D21" s="4"/>
      <c r="E21" s="4"/>
      <c r="F21" s="4"/>
      <c r="G21" s="4"/>
      <c r="J21" s="4"/>
      <c r="K21" s="4"/>
      <c r="L21" s="4"/>
      <c r="M21" s="4"/>
      <c r="O21" s="4"/>
      <c r="P21" s="4"/>
      <c r="Q21" s="4"/>
      <c r="R21" s="4"/>
      <c r="S21" s="4"/>
      <c r="T21" s="4"/>
      <c r="U21" s="4"/>
      <c r="X21" s="4"/>
      <c r="Y21" s="4"/>
      <c r="Z21" s="4"/>
      <c r="AA21" s="4"/>
      <c r="AB21" s="4"/>
      <c r="AC21" s="4"/>
      <c r="AD21" s="4"/>
      <c r="AE21" s="31"/>
      <c r="AF21" s="31"/>
      <c r="AG21" s="31"/>
      <c r="AH21" s="4"/>
      <c r="AI21" s="3" t="str">
        <f t="shared" si="0"/>
        <v/>
      </c>
      <c r="AJ21" s="3" t="str">
        <f t="shared" si="1"/>
        <v/>
      </c>
    </row>
    <row r="22" spans="1:36" hidden="1" x14ac:dyDescent="0.25">
      <c r="A22" s="16"/>
      <c r="B22" s="4"/>
      <c r="C22" s="4"/>
      <c r="D22" s="4"/>
      <c r="E22" s="4"/>
      <c r="F22" s="4"/>
      <c r="G22" s="4"/>
      <c r="J22" s="4"/>
      <c r="K22" s="4"/>
      <c r="L22" s="4"/>
      <c r="M22" s="4"/>
      <c r="O22" s="4"/>
      <c r="P22" s="4"/>
      <c r="Q22" s="4"/>
      <c r="R22" s="4"/>
      <c r="S22" s="4"/>
      <c r="T22" s="4"/>
      <c r="U22" s="4"/>
      <c r="X22" s="4"/>
      <c r="Y22" s="4"/>
      <c r="Z22" s="4"/>
      <c r="AA22" s="4"/>
      <c r="AB22" s="4"/>
      <c r="AC22" s="4"/>
      <c r="AD22" s="4"/>
      <c r="AE22" s="31"/>
      <c r="AF22" s="31"/>
      <c r="AG22" s="31" t="str">
        <f t="shared" ref="AG22:AG33" si="2">IF(B22="","",$C$3-F22)</f>
        <v/>
      </c>
      <c r="AH22" s="4" t="str">
        <f t="shared" ref="AH22:AH33" si="3">IF(C22="","",$C$3-G22)</f>
        <v/>
      </c>
      <c r="AI22" s="3" t="str">
        <f t="shared" si="0"/>
        <v/>
      </c>
      <c r="AJ22" s="3" t="str">
        <f t="shared" si="1"/>
        <v/>
      </c>
    </row>
    <row r="23" spans="1:36" hidden="1" x14ac:dyDescent="0.25">
      <c r="A23" s="16"/>
      <c r="B23" s="4"/>
      <c r="C23" s="4"/>
      <c r="D23" s="4"/>
      <c r="E23" s="4"/>
      <c r="F23" s="4"/>
      <c r="G23" s="4"/>
      <c r="J23" s="4"/>
      <c r="K23" s="4"/>
      <c r="L23" s="4"/>
      <c r="M23" s="4"/>
      <c r="O23" s="4"/>
      <c r="P23" s="4"/>
      <c r="Q23" s="4"/>
      <c r="R23" s="4"/>
      <c r="S23" s="4"/>
      <c r="T23" s="4"/>
      <c r="U23" s="4"/>
      <c r="X23" s="4"/>
      <c r="Y23" s="4"/>
      <c r="Z23" s="4"/>
      <c r="AA23" s="4"/>
      <c r="AB23" s="4"/>
      <c r="AC23" s="4"/>
      <c r="AD23" s="4"/>
      <c r="AE23" s="31"/>
      <c r="AF23" s="31"/>
      <c r="AG23" s="31" t="str">
        <f t="shared" si="2"/>
        <v/>
      </c>
      <c r="AH23" s="4" t="str">
        <f t="shared" si="3"/>
        <v/>
      </c>
      <c r="AI23" s="3" t="str">
        <f t="shared" si="0"/>
        <v/>
      </c>
      <c r="AJ23" s="3" t="str">
        <f t="shared" si="1"/>
        <v/>
      </c>
    </row>
    <row r="24" spans="1:36" hidden="1" x14ac:dyDescent="0.25">
      <c r="A24" s="16"/>
      <c r="B24" s="4"/>
      <c r="C24" s="4"/>
      <c r="D24" s="4"/>
      <c r="E24" s="4"/>
      <c r="F24" s="4"/>
      <c r="G24" s="4"/>
      <c r="J24" s="4"/>
      <c r="K24" s="4"/>
      <c r="L24" s="4"/>
      <c r="M24" s="4"/>
      <c r="O24" s="4"/>
      <c r="P24" s="4"/>
      <c r="Q24" s="4"/>
      <c r="R24" s="4"/>
      <c r="S24" s="4"/>
      <c r="T24" s="4"/>
      <c r="U24" s="4"/>
      <c r="X24" s="4"/>
      <c r="Y24" s="4"/>
      <c r="Z24" s="4"/>
      <c r="AA24" s="4"/>
      <c r="AB24" s="4"/>
      <c r="AC24" s="4"/>
      <c r="AD24" s="4"/>
      <c r="AE24" s="31"/>
      <c r="AF24" s="31"/>
      <c r="AG24" s="31" t="str">
        <f t="shared" si="2"/>
        <v/>
      </c>
      <c r="AH24" s="4" t="str">
        <f t="shared" si="3"/>
        <v/>
      </c>
      <c r="AI24" s="3" t="str">
        <f t="shared" si="0"/>
        <v/>
      </c>
      <c r="AJ24" s="3" t="str">
        <f t="shared" si="1"/>
        <v/>
      </c>
    </row>
    <row r="25" spans="1:36" hidden="1" x14ac:dyDescent="0.25">
      <c r="A25" s="16"/>
      <c r="B25" s="4"/>
      <c r="C25" s="4"/>
      <c r="D25" s="4"/>
      <c r="E25" s="4"/>
      <c r="F25" s="4"/>
      <c r="G25" s="4"/>
      <c r="J25" s="4"/>
      <c r="K25" s="4"/>
      <c r="L25" s="4"/>
      <c r="M25" s="4"/>
      <c r="O25" s="4"/>
      <c r="P25" s="4"/>
      <c r="Q25" s="4"/>
      <c r="R25" s="4"/>
      <c r="S25" s="4"/>
      <c r="T25" s="4"/>
      <c r="U25" s="4"/>
      <c r="X25" s="4"/>
      <c r="Y25" s="4"/>
      <c r="Z25" s="4"/>
      <c r="AA25" s="4"/>
      <c r="AB25" s="4"/>
      <c r="AC25" s="4"/>
      <c r="AD25" s="4"/>
      <c r="AE25" s="31"/>
      <c r="AF25" s="31"/>
      <c r="AG25" s="31" t="str">
        <f t="shared" si="2"/>
        <v/>
      </c>
      <c r="AH25" s="4" t="str">
        <f t="shared" si="3"/>
        <v/>
      </c>
      <c r="AI25" s="3" t="str">
        <f t="shared" si="0"/>
        <v/>
      </c>
      <c r="AJ25" s="3" t="str">
        <f t="shared" si="1"/>
        <v/>
      </c>
    </row>
    <row r="26" spans="1:36" hidden="1" x14ac:dyDescent="0.25">
      <c r="A26" s="16"/>
      <c r="B26" s="4"/>
      <c r="C26" s="4"/>
      <c r="D26" s="4"/>
      <c r="E26" s="4"/>
      <c r="F26" s="4"/>
      <c r="G26" s="4"/>
      <c r="J26" s="4"/>
      <c r="K26" s="4"/>
      <c r="L26" s="4"/>
      <c r="M26" s="4"/>
      <c r="O26" s="4"/>
      <c r="P26" s="4"/>
      <c r="Q26" s="4"/>
      <c r="R26" s="4"/>
      <c r="S26" s="4"/>
      <c r="T26" s="4"/>
      <c r="U26" s="4"/>
      <c r="X26" s="4"/>
      <c r="Y26" s="4"/>
      <c r="Z26" s="4"/>
      <c r="AA26" s="4"/>
      <c r="AB26" s="4"/>
      <c r="AC26" s="4"/>
      <c r="AD26" s="4"/>
      <c r="AE26" s="31"/>
      <c r="AF26" s="31"/>
      <c r="AG26" s="31" t="str">
        <f t="shared" si="2"/>
        <v/>
      </c>
      <c r="AH26" s="4" t="str">
        <f t="shared" si="3"/>
        <v/>
      </c>
      <c r="AI26" s="3" t="str">
        <f t="shared" si="0"/>
        <v/>
      </c>
      <c r="AJ26" s="3" t="str">
        <f t="shared" si="1"/>
        <v/>
      </c>
    </row>
    <row r="27" spans="1:36" hidden="1" x14ac:dyDescent="0.25">
      <c r="A27" s="16"/>
      <c r="B27" s="4"/>
      <c r="C27" s="4"/>
      <c r="D27" s="4"/>
      <c r="E27" s="4"/>
      <c r="F27" s="4"/>
      <c r="G27" s="4"/>
      <c r="J27" s="4"/>
      <c r="K27" s="4"/>
      <c r="L27" s="4"/>
      <c r="M27" s="4"/>
      <c r="O27" s="4"/>
      <c r="P27" s="4"/>
      <c r="Q27" s="4"/>
      <c r="R27" s="4"/>
      <c r="S27" s="4"/>
      <c r="T27" s="4"/>
      <c r="U27" s="4"/>
      <c r="X27" s="4"/>
      <c r="Y27" s="4"/>
      <c r="Z27" s="4"/>
      <c r="AA27" s="4"/>
      <c r="AB27" s="4"/>
      <c r="AC27" s="4"/>
      <c r="AD27" s="4"/>
      <c r="AE27" s="31"/>
      <c r="AF27" s="31"/>
      <c r="AG27" s="31" t="str">
        <f t="shared" si="2"/>
        <v/>
      </c>
      <c r="AH27" s="4" t="str">
        <f t="shared" si="3"/>
        <v/>
      </c>
      <c r="AI27" s="3" t="str">
        <f t="shared" si="0"/>
        <v/>
      </c>
      <c r="AJ27" s="3" t="str">
        <f t="shared" si="1"/>
        <v/>
      </c>
    </row>
    <row r="28" spans="1:36" hidden="1" x14ac:dyDescent="0.25">
      <c r="A28" s="16"/>
      <c r="B28" s="4"/>
      <c r="C28" s="4"/>
      <c r="D28" s="4"/>
      <c r="E28" s="4"/>
      <c r="F28" s="4"/>
      <c r="G28" s="4"/>
      <c r="J28" s="4"/>
      <c r="K28" s="4"/>
      <c r="L28" s="4"/>
      <c r="M28" s="4"/>
      <c r="O28" s="4"/>
      <c r="P28" s="4"/>
      <c r="Q28" s="4"/>
      <c r="R28" s="4"/>
      <c r="S28" s="4"/>
      <c r="T28" s="4"/>
      <c r="U28" s="4"/>
      <c r="X28" s="4"/>
      <c r="Y28" s="4"/>
      <c r="Z28" s="4"/>
      <c r="AA28" s="4"/>
      <c r="AB28" s="4"/>
      <c r="AC28" s="4"/>
      <c r="AD28" s="4"/>
      <c r="AE28" s="31"/>
      <c r="AF28" s="31"/>
      <c r="AG28" s="31" t="str">
        <f t="shared" si="2"/>
        <v/>
      </c>
      <c r="AH28" s="4" t="str">
        <f t="shared" si="3"/>
        <v/>
      </c>
      <c r="AI28" s="3" t="str">
        <f t="shared" si="0"/>
        <v/>
      </c>
      <c r="AJ28" s="3" t="str">
        <f t="shared" si="1"/>
        <v/>
      </c>
    </row>
    <row r="29" spans="1:36" hidden="1" x14ac:dyDescent="0.25">
      <c r="A29" s="16"/>
      <c r="B29" s="4"/>
      <c r="C29" s="4"/>
      <c r="D29" s="4"/>
      <c r="E29" s="4"/>
      <c r="F29" s="4"/>
      <c r="G29" s="4"/>
      <c r="J29" s="4"/>
      <c r="K29" s="4"/>
      <c r="L29" s="4"/>
      <c r="M29" s="4"/>
      <c r="O29" s="4"/>
      <c r="P29" s="4"/>
      <c r="Q29" s="4"/>
      <c r="R29" s="4"/>
      <c r="S29" s="4"/>
      <c r="T29" s="4"/>
      <c r="U29" s="4"/>
      <c r="X29" s="4"/>
      <c r="Y29" s="4"/>
      <c r="Z29" s="4"/>
      <c r="AA29" s="4"/>
      <c r="AB29" s="4"/>
      <c r="AC29" s="4"/>
      <c r="AD29" s="4"/>
      <c r="AE29" s="31"/>
      <c r="AF29" s="31"/>
      <c r="AG29" s="31" t="str">
        <f t="shared" si="2"/>
        <v/>
      </c>
      <c r="AH29" s="4" t="str">
        <f t="shared" si="3"/>
        <v/>
      </c>
      <c r="AI29" s="3" t="str">
        <f t="shared" si="0"/>
        <v/>
      </c>
      <c r="AJ29" s="3" t="str">
        <f t="shared" si="1"/>
        <v/>
      </c>
    </row>
    <row r="30" spans="1:36" hidden="1" x14ac:dyDescent="0.25">
      <c r="A30" s="16"/>
      <c r="B30" s="4"/>
      <c r="C30" s="4"/>
      <c r="D30" s="4"/>
      <c r="E30" s="4"/>
      <c r="F30" s="4"/>
      <c r="G30" s="4"/>
      <c r="J30" s="4"/>
      <c r="K30" s="4"/>
      <c r="L30" s="4"/>
      <c r="M30" s="4"/>
      <c r="O30" s="4"/>
      <c r="P30" s="4"/>
      <c r="Q30" s="4"/>
      <c r="R30" s="4"/>
      <c r="S30" s="4"/>
      <c r="T30" s="4"/>
      <c r="U30" s="4"/>
      <c r="X30" s="4"/>
      <c r="Y30" s="4"/>
      <c r="Z30" s="4"/>
      <c r="AA30" s="4"/>
      <c r="AB30" s="4"/>
      <c r="AC30" s="4"/>
      <c r="AD30" s="4"/>
      <c r="AE30" s="31"/>
      <c r="AF30" s="31"/>
      <c r="AG30" s="31" t="str">
        <f t="shared" si="2"/>
        <v/>
      </c>
      <c r="AH30" s="4" t="str">
        <f t="shared" si="3"/>
        <v/>
      </c>
      <c r="AI30" s="3" t="str">
        <f t="shared" si="0"/>
        <v/>
      </c>
      <c r="AJ30" s="3" t="str">
        <f t="shared" si="1"/>
        <v/>
      </c>
    </row>
    <row r="31" spans="1:36" hidden="1" x14ac:dyDescent="0.25">
      <c r="A31" s="16"/>
      <c r="B31" s="4"/>
      <c r="C31" s="4"/>
      <c r="D31" s="4"/>
      <c r="E31" s="4"/>
      <c r="F31" s="4"/>
      <c r="G31" s="4"/>
      <c r="J31" s="4"/>
      <c r="K31" s="4"/>
      <c r="L31" s="4"/>
      <c r="M31" s="4"/>
      <c r="O31" s="4"/>
      <c r="P31" s="4"/>
      <c r="Q31" s="4"/>
      <c r="R31" s="4"/>
      <c r="S31" s="4"/>
      <c r="T31" s="4"/>
      <c r="U31" s="4"/>
      <c r="X31" s="4"/>
      <c r="Y31" s="4"/>
      <c r="Z31" s="4"/>
      <c r="AA31" s="4"/>
      <c r="AB31" s="4"/>
      <c r="AC31" s="4"/>
      <c r="AD31" s="4"/>
      <c r="AE31" s="31"/>
      <c r="AF31" s="31"/>
      <c r="AG31" s="31" t="str">
        <f t="shared" si="2"/>
        <v/>
      </c>
      <c r="AH31" s="4" t="str">
        <f t="shared" si="3"/>
        <v/>
      </c>
      <c r="AI31" s="3" t="str">
        <f t="shared" si="0"/>
        <v/>
      </c>
      <c r="AJ31" s="3" t="str">
        <f t="shared" si="1"/>
        <v/>
      </c>
    </row>
    <row r="32" spans="1:36" hidden="1" x14ac:dyDescent="0.25">
      <c r="A32" s="16"/>
      <c r="B32" s="4"/>
      <c r="C32" s="4"/>
      <c r="D32" s="4"/>
      <c r="E32" s="4"/>
      <c r="F32" s="4"/>
      <c r="G32" s="4"/>
      <c r="J32" s="4"/>
      <c r="K32" s="4"/>
      <c r="L32" s="4"/>
      <c r="M32" s="4"/>
      <c r="O32" s="4"/>
      <c r="P32" s="4"/>
      <c r="Q32" s="4"/>
      <c r="R32" s="4"/>
      <c r="S32" s="4"/>
      <c r="T32" s="4"/>
      <c r="U32" s="4"/>
      <c r="X32" s="4"/>
      <c r="Y32" s="4"/>
      <c r="Z32" s="4"/>
      <c r="AA32" s="4"/>
      <c r="AB32" s="4"/>
      <c r="AC32" s="4"/>
      <c r="AD32" s="4"/>
      <c r="AE32" s="31"/>
      <c r="AF32" s="31"/>
      <c r="AG32" s="31" t="str">
        <f t="shared" si="2"/>
        <v/>
      </c>
      <c r="AH32" s="4" t="str">
        <f t="shared" si="3"/>
        <v/>
      </c>
      <c r="AI32" s="3" t="str">
        <f t="shared" si="0"/>
        <v/>
      </c>
      <c r="AJ32" s="3" t="str">
        <f t="shared" si="1"/>
        <v/>
      </c>
    </row>
    <row r="33" spans="1:36" hidden="1" x14ac:dyDescent="0.25">
      <c r="A33" s="16"/>
      <c r="B33" s="4"/>
      <c r="C33" s="4"/>
      <c r="D33" s="4"/>
      <c r="E33" s="4"/>
      <c r="F33" s="4"/>
      <c r="G33" s="4"/>
      <c r="J33" s="4"/>
      <c r="K33" s="4"/>
      <c r="L33" s="4"/>
      <c r="M33" s="4"/>
      <c r="O33" s="4"/>
      <c r="P33" s="4"/>
      <c r="Q33" s="4"/>
      <c r="R33" s="4"/>
      <c r="S33" s="4"/>
      <c r="T33" s="4"/>
      <c r="U33" s="4"/>
      <c r="X33" s="4"/>
      <c r="Y33" s="4"/>
      <c r="Z33" s="4"/>
      <c r="AA33" s="4"/>
      <c r="AB33" s="4"/>
      <c r="AC33" s="4"/>
      <c r="AD33" s="4"/>
      <c r="AE33" s="31"/>
      <c r="AF33" s="31"/>
      <c r="AG33" s="31" t="str">
        <f t="shared" si="2"/>
        <v/>
      </c>
      <c r="AH33" s="4" t="str">
        <f t="shared" si="3"/>
        <v/>
      </c>
      <c r="AI33" s="3" t="str">
        <f t="shared" si="0"/>
        <v/>
      </c>
      <c r="AJ33" s="3" t="str">
        <f t="shared" si="1"/>
        <v/>
      </c>
    </row>
    <row r="35" spans="1:36" ht="18" hidden="1" customHeight="1" outlineLevel="1" thickTop="1" thickBot="1" x14ac:dyDescent="0.35">
      <c r="A35" s="7" t="s">
        <v>70</v>
      </c>
      <c r="B35" s="6" t="s">
        <v>71</v>
      </c>
      <c r="C35" s="6" t="s">
        <v>72</v>
      </c>
      <c r="D35" s="6" t="s">
        <v>71</v>
      </c>
      <c r="E35" s="6" t="s">
        <v>73</v>
      </c>
      <c r="F35" s="6" t="s">
        <v>71</v>
      </c>
      <c r="G35" s="6" t="s">
        <v>74</v>
      </c>
      <c r="J35" s="6"/>
      <c r="K35" s="6"/>
      <c r="L35" s="6"/>
      <c r="M35" s="6"/>
      <c r="O35" s="6"/>
      <c r="P35" s="6"/>
      <c r="Q35" s="6"/>
      <c r="R35" s="6"/>
      <c r="S35" s="6"/>
      <c r="T35" s="6"/>
      <c r="U35" s="6"/>
      <c r="X35" s="6"/>
      <c r="Y35" s="6"/>
      <c r="Z35" s="6"/>
      <c r="AA35" s="6"/>
    </row>
    <row r="36" spans="1:36" ht="16.5" hidden="1" customHeight="1" outlineLevel="1" thickTop="1" x14ac:dyDescent="0.25">
      <c r="A36" s="8">
        <v>1</v>
      </c>
      <c r="B36" s="4">
        <v>0.3</v>
      </c>
      <c r="C36" s="4">
        <v>25.0589713718764</v>
      </c>
      <c r="D36" s="4">
        <v>0.4</v>
      </c>
      <c r="E36" s="4">
        <v>23.120599976553802</v>
      </c>
      <c r="F36" s="4">
        <v>0.4</v>
      </c>
      <c r="G36" s="4">
        <v>13.1205999765538</v>
      </c>
      <c r="J36" s="4"/>
      <c r="K36" s="4"/>
      <c r="L36" s="4"/>
      <c r="M36" s="4"/>
      <c r="O36" s="4"/>
      <c r="P36" s="4"/>
      <c r="Q36" s="4"/>
      <c r="R36" s="4"/>
      <c r="S36" s="4"/>
      <c r="T36" s="4"/>
      <c r="U36" s="4"/>
      <c r="X36" s="4"/>
      <c r="Y36" s="4"/>
      <c r="Z36" s="4"/>
      <c r="AA36" s="4"/>
    </row>
    <row r="37" spans="1:36" hidden="1" outlineLevel="1" x14ac:dyDescent="0.25">
      <c r="A37" s="8">
        <v>2</v>
      </c>
      <c r="B37" s="4">
        <v>0.5</v>
      </c>
      <c r="C37" s="4">
        <v>7.0112981930649703</v>
      </c>
      <c r="D37" s="4">
        <v>1.1000000000000001</v>
      </c>
      <c r="E37" s="4">
        <v>19.159190611638</v>
      </c>
      <c r="F37" s="4">
        <v>1.1000000000000001</v>
      </c>
      <c r="G37" s="4">
        <v>9.1591906116379995</v>
      </c>
      <c r="J37" s="4"/>
      <c r="K37" s="4"/>
      <c r="L37" s="4"/>
      <c r="M37" s="4"/>
      <c r="O37" s="4"/>
      <c r="P37" s="4"/>
      <c r="Q37" s="4"/>
      <c r="R37" s="4"/>
      <c r="S37" s="4"/>
      <c r="T37" s="4"/>
      <c r="U37" s="4"/>
      <c r="X37" s="4"/>
      <c r="Y37" s="4"/>
      <c r="Z37" s="4"/>
      <c r="AA37" s="4"/>
    </row>
    <row r="38" spans="1:36" hidden="1" outlineLevel="1" x14ac:dyDescent="0.25">
      <c r="A38" s="8">
        <f t="shared" ref="A38:A101" si="4">A37+1</f>
        <v>3</v>
      </c>
      <c r="B38" s="4">
        <v>0.5</v>
      </c>
      <c r="C38" s="4">
        <v>13.9786779080416</v>
      </c>
      <c r="D38" s="4">
        <v>1.1000000000000001</v>
      </c>
      <c r="E38" s="4">
        <v>18.042872656148798</v>
      </c>
      <c r="F38" s="4">
        <v>1.1000000000000001</v>
      </c>
      <c r="G38" s="4">
        <v>8.0428726561487984</v>
      </c>
      <c r="J38" s="4"/>
      <c r="K38" s="4"/>
      <c r="L38" s="4"/>
      <c r="M38" s="4"/>
      <c r="O38" s="4"/>
      <c r="P38" s="4"/>
      <c r="Q38" s="4"/>
      <c r="R38" s="4"/>
      <c r="S38" s="4"/>
      <c r="T38" s="4"/>
      <c r="U38" s="4"/>
      <c r="X38" s="4"/>
      <c r="Y38" s="4"/>
      <c r="Z38" s="4"/>
      <c r="AA38" s="4"/>
    </row>
    <row r="39" spans="1:36" hidden="1" outlineLevel="1" x14ac:dyDescent="0.25">
      <c r="A39" s="8">
        <f t="shared" si="4"/>
        <v>4</v>
      </c>
      <c r="B39" s="4">
        <v>0.8</v>
      </c>
      <c r="C39" s="4">
        <v>25.002498039773499</v>
      </c>
      <c r="D39" s="4">
        <v>1.5</v>
      </c>
      <c r="E39" s="4">
        <v>19.0540682285143</v>
      </c>
      <c r="F39" s="4">
        <v>1.5</v>
      </c>
      <c r="G39" s="4">
        <v>9.0540682285142999</v>
      </c>
      <c r="J39" s="4"/>
      <c r="K39" s="4"/>
      <c r="L39" s="4"/>
      <c r="M39" s="4"/>
      <c r="O39" s="4"/>
      <c r="P39" s="4"/>
      <c r="Q39" s="4"/>
      <c r="R39" s="4"/>
      <c r="S39" s="4"/>
      <c r="T39" s="4"/>
      <c r="U39" s="4"/>
      <c r="X39" s="4"/>
      <c r="Y39" s="4"/>
      <c r="Z39" s="4"/>
      <c r="AA39" s="4"/>
    </row>
    <row r="40" spans="1:36" hidden="1" outlineLevel="1" x14ac:dyDescent="0.25">
      <c r="A40" s="8">
        <f t="shared" si="4"/>
        <v>5</v>
      </c>
      <c r="B40" s="4">
        <v>0.9</v>
      </c>
      <c r="C40" s="4">
        <v>20.991104627310101</v>
      </c>
      <c r="D40" s="4">
        <v>1.6</v>
      </c>
      <c r="E40" s="4">
        <v>17.2271137080205</v>
      </c>
      <c r="F40" s="4">
        <v>1.6</v>
      </c>
      <c r="G40" s="4">
        <v>7.2271137080205001</v>
      </c>
      <c r="J40" s="4"/>
      <c r="K40" s="4"/>
      <c r="L40" s="4"/>
      <c r="M40" s="4"/>
      <c r="O40" s="4"/>
      <c r="P40" s="4"/>
      <c r="Q40" s="4"/>
      <c r="R40" s="4"/>
      <c r="S40" s="4"/>
      <c r="T40" s="4"/>
      <c r="U40" s="4"/>
      <c r="X40" s="4"/>
      <c r="Y40" s="4"/>
      <c r="Z40" s="4"/>
      <c r="AA40" s="4"/>
    </row>
    <row r="41" spans="1:36" hidden="1" outlineLevel="1" x14ac:dyDescent="0.25">
      <c r="A41" s="8">
        <f t="shared" si="4"/>
        <v>6</v>
      </c>
      <c r="B41" s="4">
        <v>1.3</v>
      </c>
      <c r="C41" s="4">
        <v>26.951133639837899</v>
      </c>
      <c r="D41" s="4">
        <v>3</v>
      </c>
      <c r="E41" s="4">
        <v>22.5903605165574</v>
      </c>
      <c r="F41" s="4">
        <v>3</v>
      </c>
      <c r="G41" s="4">
        <v>12.5903605165574</v>
      </c>
      <c r="J41" s="4"/>
      <c r="K41" s="4"/>
      <c r="L41" s="4"/>
      <c r="M41" s="4"/>
      <c r="O41" s="4"/>
      <c r="P41" s="4"/>
      <c r="Q41" s="4"/>
      <c r="R41" s="4"/>
      <c r="S41" s="4"/>
      <c r="T41" s="4"/>
      <c r="U41" s="4"/>
      <c r="X41" s="4"/>
      <c r="Y41" s="4"/>
      <c r="Z41" s="4"/>
      <c r="AA41" s="4"/>
    </row>
    <row r="42" spans="1:36" hidden="1" outlineLevel="1" x14ac:dyDescent="0.25">
      <c r="A42" s="8">
        <f t="shared" si="4"/>
        <v>7</v>
      </c>
      <c r="B42" s="4">
        <v>1.5</v>
      </c>
      <c r="C42" s="4">
        <v>16.021263314552002</v>
      </c>
      <c r="D42" s="4">
        <v>3</v>
      </c>
      <c r="E42" s="4">
        <v>21.069055302240301</v>
      </c>
      <c r="F42" s="4">
        <v>3</v>
      </c>
      <c r="G42" s="4">
        <v>11.069055302240301</v>
      </c>
      <c r="J42" s="4"/>
      <c r="K42" s="4"/>
      <c r="L42" s="4"/>
      <c r="M42" s="4"/>
      <c r="O42" s="4"/>
      <c r="P42" s="4"/>
      <c r="Q42" s="4"/>
      <c r="R42" s="4"/>
      <c r="S42" s="4"/>
      <c r="T42" s="4"/>
      <c r="U42" s="4"/>
      <c r="X42" s="4"/>
      <c r="Y42" s="4"/>
      <c r="Z42" s="4"/>
      <c r="AA42" s="4"/>
    </row>
    <row r="43" spans="1:36" hidden="1" outlineLevel="1" x14ac:dyDescent="0.25">
      <c r="A43" s="8">
        <f t="shared" si="4"/>
        <v>8</v>
      </c>
      <c r="B43" s="4">
        <v>1.8</v>
      </c>
      <c r="C43" s="4">
        <v>31.005081894560401</v>
      </c>
      <c r="D43" s="4">
        <v>4.2</v>
      </c>
      <c r="E43" s="4">
        <v>24.9128479142115</v>
      </c>
      <c r="F43" s="4">
        <v>4.2</v>
      </c>
      <c r="G43" s="4">
        <v>14.9128479142115</v>
      </c>
      <c r="J43" s="4"/>
      <c r="K43" s="4"/>
      <c r="L43" s="4"/>
      <c r="M43" s="4"/>
      <c r="O43" s="4"/>
      <c r="P43" s="4"/>
      <c r="Q43" s="4"/>
      <c r="R43" s="4"/>
      <c r="S43" s="4"/>
      <c r="T43" s="4"/>
      <c r="U43" s="4"/>
      <c r="X43" s="4"/>
      <c r="Y43" s="4"/>
      <c r="Z43" s="4"/>
      <c r="AA43" s="4"/>
    </row>
    <row r="44" spans="1:36" hidden="1" outlineLevel="1" x14ac:dyDescent="0.25">
      <c r="A44" s="8">
        <f t="shared" si="4"/>
        <v>9</v>
      </c>
      <c r="B44" s="4">
        <v>1.9</v>
      </c>
      <c r="C44" s="4">
        <v>18.923503556620901</v>
      </c>
      <c r="D44" s="4">
        <v>4.5</v>
      </c>
      <c r="E44" s="4">
        <v>58.682815768203199</v>
      </c>
      <c r="F44" s="4">
        <v>4.5</v>
      </c>
      <c r="G44" s="4">
        <v>48.682815768203199</v>
      </c>
      <c r="J44" s="4"/>
      <c r="K44" s="4"/>
      <c r="L44" s="4"/>
      <c r="M44" s="4"/>
      <c r="O44" s="4"/>
      <c r="P44" s="4"/>
      <c r="Q44" s="4"/>
      <c r="R44" s="4"/>
      <c r="S44" s="4"/>
      <c r="T44" s="4"/>
      <c r="U44" s="4"/>
      <c r="X44" s="4"/>
      <c r="Y44" s="4"/>
      <c r="Z44" s="4"/>
      <c r="AA44" s="4"/>
    </row>
    <row r="45" spans="1:36" hidden="1" outlineLevel="1" x14ac:dyDescent="0.25">
      <c r="A45" s="8">
        <f t="shared" si="4"/>
        <v>10</v>
      </c>
      <c r="B45" s="4">
        <v>2.2999999999999998</v>
      </c>
      <c r="C45" s="4">
        <v>37.013872643466797</v>
      </c>
      <c r="D45" s="4">
        <v>4.8</v>
      </c>
      <c r="E45" s="4">
        <v>20.648334392526799</v>
      </c>
      <c r="F45" s="4">
        <v>4.8</v>
      </c>
      <c r="G45" s="4">
        <v>10.648334392526801</v>
      </c>
      <c r="J45" s="4"/>
      <c r="K45" s="4"/>
      <c r="L45" s="4"/>
      <c r="M45" s="4"/>
      <c r="O45" s="4"/>
      <c r="P45" s="4"/>
      <c r="Q45" s="4"/>
      <c r="R45" s="4"/>
      <c r="S45" s="4"/>
      <c r="T45" s="4"/>
      <c r="U45" s="4"/>
      <c r="X45" s="4"/>
      <c r="Y45" s="4"/>
      <c r="Z45" s="4"/>
      <c r="AA45" s="4"/>
    </row>
    <row r="46" spans="1:36" hidden="1" outlineLevel="1" x14ac:dyDescent="0.25">
      <c r="A46" s="8">
        <f t="shared" si="4"/>
        <v>11</v>
      </c>
      <c r="B46" s="4">
        <v>2.5</v>
      </c>
      <c r="C46" s="4">
        <v>13.051452566045199</v>
      </c>
      <c r="D46" s="4">
        <v>5.6</v>
      </c>
      <c r="E46" s="4">
        <v>22.669105896725601</v>
      </c>
      <c r="F46" s="4">
        <v>5.6</v>
      </c>
      <c r="G46" s="4">
        <v>12.669105896725601</v>
      </c>
      <c r="J46" s="4"/>
      <c r="K46" s="4"/>
      <c r="L46" s="4"/>
      <c r="M46" s="4"/>
      <c r="O46" s="4"/>
      <c r="P46" s="4"/>
      <c r="Q46" s="4"/>
      <c r="R46" s="4"/>
      <c r="S46" s="4"/>
      <c r="T46" s="4"/>
      <c r="U46" s="4"/>
      <c r="X46" s="4"/>
      <c r="Y46" s="4"/>
      <c r="Z46" s="4"/>
      <c r="AA46" s="4"/>
    </row>
    <row r="47" spans="1:36" hidden="1" outlineLevel="1" x14ac:dyDescent="0.25">
      <c r="A47" s="8">
        <f t="shared" si="4"/>
        <v>12</v>
      </c>
      <c r="B47" s="4">
        <v>2.8</v>
      </c>
      <c r="C47" s="4">
        <v>38.060204521863398</v>
      </c>
      <c r="D47" s="4">
        <v>5.9</v>
      </c>
      <c r="E47" s="4">
        <v>30.272855441683699</v>
      </c>
      <c r="F47" s="4">
        <v>5.9</v>
      </c>
      <c r="G47" s="4">
        <v>20.272855441683699</v>
      </c>
      <c r="J47" s="4"/>
      <c r="K47" s="4"/>
      <c r="L47" s="4"/>
      <c r="M47" s="4"/>
      <c r="O47" s="4"/>
      <c r="P47" s="4"/>
      <c r="Q47" s="4"/>
      <c r="R47" s="4"/>
      <c r="S47" s="4"/>
      <c r="T47" s="4"/>
      <c r="U47" s="4"/>
      <c r="X47" s="4"/>
      <c r="Y47" s="4"/>
      <c r="Z47" s="4"/>
      <c r="AA47" s="4"/>
    </row>
    <row r="48" spans="1:36" hidden="1" outlineLevel="1" x14ac:dyDescent="0.25">
      <c r="A48" s="8">
        <f t="shared" si="4"/>
        <v>13</v>
      </c>
      <c r="B48" s="4">
        <v>2.9</v>
      </c>
      <c r="C48" s="4">
        <v>10.038804843728499</v>
      </c>
      <c r="D48" s="4">
        <v>6.1</v>
      </c>
      <c r="E48" s="4">
        <v>24.895957377231301</v>
      </c>
      <c r="F48" s="4">
        <v>6.1</v>
      </c>
      <c r="G48" s="4">
        <v>14.8959573772313</v>
      </c>
      <c r="J48" s="4"/>
      <c r="K48" s="4"/>
      <c r="L48" s="4"/>
      <c r="M48" s="4"/>
      <c r="O48" s="4"/>
      <c r="P48" s="4"/>
      <c r="Q48" s="4"/>
      <c r="R48" s="4"/>
      <c r="S48" s="4"/>
      <c r="T48" s="4"/>
      <c r="U48" s="4"/>
      <c r="X48" s="4"/>
      <c r="Y48" s="4"/>
      <c r="Z48" s="4"/>
      <c r="AA48" s="4"/>
    </row>
    <row r="49" spans="1:27" hidden="1" outlineLevel="1" x14ac:dyDescent="0.25">
      <c r="A49" s="8">
        <f t="shared" si="4"/>
        <v>14</v>
      </c>
      <c r="B49" s="4">
        <v>3.3</v>
      </c>
      <c r="C49" s="4">
        <v>37.953699861402903</v>
      </c>
      <c r="D49" s="4">
        <v>7.1</v>
      </c>
      <c r="E49" s="4">
        <v>25.799948171503001</v>
      </c>
      <c r="F49" s="4">
        <v>7.1</v>
      </c>
      <c r="G49" s="4">
        <v>15.799948171503001</v>
      </c>
      <c r="J49" s="4"/>
      <c r="K49" s="4"/>
      <c r="L49" s="4"/>
      <c r="M49" s="4"/>
      <c r="O49" s="4"/>
      <c r="P49" s="4"/>
      <c r="Q49" s="4"/>
      <c r="R49" s="4"/>
      <c r="S49" s="4"/>
      <c r="T49" s="4"/>
      <c r="U49" s="4"/>
      <c r="X49" s="4"/>
      <c r="Y49" s="4"/>
      <c r="Z49" s="4"/>
      <c r="AA49" s="4"/>
    </row>
    <row r="50" spans="1:27" hidden="1" outlineLevel="1" x14ac:dyDescent="0.25">
      <c r="A50" s="8">
        <f t="shared" si="4"/>
        <v>15</v>
      </c>
      <c r="B50" s="4">
        <v>3.9</v>
      </c>
      <c r="C50" s="4">
        <v>12.9335215777737</v>
      </c>
      <c r="D50" s="4">
        <v>7.5</v>
      </c>
      <c r="E50" s="4">
        <v>32.997553571538802</v>
      </c>
      <c r="F50" s="4">
        <v>7.5</v>
      </c>
      <c r="G50" s="4">
        <v>22.997553571538798</v>
      </c>
      <c r="J50" s="4"/>
      <c r="K50" s="4"/>
      <c r="L50" s="4"/>
      <c r="M50" s="4"/>
      <c r="O50" s="4"/>
      <c r="P50" s="4"/>
      <c r="Q50" s="4"/>
      <c r="R50" s="4"/>
      <c r="S50" s="4"/>
      <c r="T50" s="4"/>
      <c r="U50" s="4"/>
      <c r="X50" s="4"/>
      <c r="Y50" s="4"/>
      <c r="Z50" s="4"/>
      <c r="AA50" s="4"/>
    </row>
    <row r="51" spans="1:27" hidden="1" outlineLevel="1" x14ac:dyDescent="0.25">
      <c r="A51" s="8">
        <f t="shared" si="4"/>
        <v>16</v>
      </c>
      <c r="B51" s="4"/>
      <c r="C51" s="4"/>
      <c r="D51" s="4">
        <v>7.5</v>
      </c>
      <c r="E51" s="4">
        <v>27.4194344523764</v>
      </c>
      <c r="F51" s="4">
        <v>7.5</v>
      </c>
      <c r="G51" s="4">
        <v>17.4194344523764</v>
      </c>
      <c r="J51" s="4"/>
      <c r="K51" s="4"/>
      <c r="L51" s="4"/>
      <c r="M51" s="4"/>
      <c r="O51" s="4"/>
      <c r="P51" s="4"/>
      <c r="Q51" s="4"/>
      <c r="R51" s="4"/>
      <c r="S51" s="4"/>
      <c r="T51" s="4"/>
      <c r="U51" s="4"/>
      <c r="X51" s="4"/>
      <c r="Y51" s="4"/>
      <c r="Z51" s="4"/>
      <c r="AA51" s="4"/>
    </row>
    <row r="52" spans="1:27" hidden="1" outlineLevel="1" x14ac:dyDescent="0.25">
      <c r="A52" s="8">
        <f t="shared" si="4"/>
        <v>17</v>
      </c>
      <c r="B52" s="4"/>
      <c r="C52" s="4"/>
      <c r="D52" s="4">
        <v>8.6</v>
      </c>
      <c r="E52" s="4">
        <v>29.033136302777098</v>
      </c>
      <c r="F52" s="4">
        <v>8.6</v>
      </c>
      <c r="G52" s="4">
        <v>19.033136302777098</v>
      </c>
      <c r="J52" s="4"/>
      <c r="K52" s="4"/>
      <c r="L52" s="4"/>
      <c r="M52" s="4"/>
      <c r="O52" s="4"/>
      <c r="P52" s="4"/>
      <c r="Q52" s="4"/>
      <c r="R52" s="4"/>
      <c r="S52" s="4"/>
      <c r="T52" s="4"/>
      <c r="U52" s="4"/>
      <c r="X52" s="4"/>
      <c r="Y52" s="4"/>
      <c r="Z52" s="4"/>
      <c r="AA52" s="4"/>
    </row>
    <row r="53" spans="1:27" hidden="1" outlineLevel="1" x14ac:dyDescent="0.25">
      <c r="A53" s="8">
        <f t="shared" si="4"/>
        <v>18</v>
      </c>
      <c r="B53" s="4"/>
      <c r="C53" s="4"/>
      <c r="D53" s="4">
        <v>9</v>
      </c>
      <c r="E53" s="4">
        <v>34.505901661596901</v>
      </c>
      <c r="F53" s="4">
        <v>9</v>
      </c>
      <c r="G53" s="4">
        <v>24.505901661596901</v>
      </c>
      <c r="J53" s="4"/>
      <c r="K53" s="4"/>
      <c r="L53" s="4"/>
      <c r="M53" s="4"/>
      <c r="O53" s="4"/>
      <c r="P53" s="4"/>
      <c r="Q53" s="4"/>
      <c r="R53" s="4"/>
      <c r="S53" s="4"/>
      <c r="T53" s="4"/>
      <c r="U53" s="4"/>
      <c r="X53" s="4"/>
      <c r="Y53" s="4"/>
      <c r="Z53" s="4"/>
      <c r="AA53" s="4"/>
    </row>
    <row r="54" spans="1:27" hidden="1" outlineLevel="1" x14ac:dyDescent="0.25">
      <c r="A54" s="8">
        <f t="shared" si="4"/>
        <v>19</v>
      </c>
      <c r="B54" s="4"/>
      <c r="C54" s="4"/>
      <c r="D54" s="4">
        <v>9.1</v>
      </c>
      <c r="E54" s="4">
        <v>49.514956223430197</v>
      </c>
      <c r="F54" s="4">
        <v>9.1</v>
      </c>
      <c r="G54" s="4">
        <v>39.514956223430197</v>
      </c>
      <c r="J54" s="4"/>
      <c r="K54" s="4"/>
      <c r="L54" s="4"/>
      <c r="M54" s="4"/>
      <c r="O54" s="4"/>
      <c r="P54" s="4"/>
      <c r="Q54" s="4"/>
      <c r="R54" s="4"/>
      <c r="S54" s="4"/>
      <c r="T54" s="4"/>
      <c r="U54" s="4"/>
      <c r="X54" s="4"/>
      <c r="Y54" s="4"/>
      <c r="Z54" s="4"/>
      <c r="AA54" s="4"/>
    </row>
    <row r="55" spans="1:27" hidden="1" outlineLevel="1" x14ac:dyDescent="0.25">
      <c r="A55" s="8">
        <f t="shared" si="4"/>
        <v>20</v>
      </c>
      <c r="B55" s="4"/>
      <c r="C55" s="4"/>
      <c r="D55" s="4">
        <v>10.1</v>
      </c>
      <c r="E55" s="4">
        <v>30.338180943155201</v>
      </c>
      <c r="F55" s="4">
        <v>10.1</v>
      </c>
      <c r="G55" s="4">
        <v>20.338180943155201</v>
      </c>
      <c r="J55" s="4"/>
      <c r="K55" s="4"/>
      <c r="L55" s="4"/>
      <c r="M55" s="4"/>
      <c r="O55" s="4"/>
      <c r="P55" s="4"/>
      <c r="Q55" s="4"/>
      <c r="R55" s="4"/>
      <c r="S55" s="4"/>
      <c r="T55" s="4"/>
      <c r="U55" s="4"/>
      <c r="X55" s="4"/>
      <c r="Y55" s="4"/>
      <c r="Z55" s="4"/>
      <c r="AA55" s="4"/>
    </row>
    <row r="56" spans="1:27" hidden="1" outlineLevel="1" x14ac:dyDescent="0.25">
      <c r="A56" s="8">
        <f t="shared" si="4"/>
        <v>21</v>
      </c>
      <c r="B56" s="4"/>
      <c r="C56" s="4"/>
      <c r="D56" s="4">
        <v>10.5</v>
      </c>
      <c r="E56" s="4">
        <v>39.969411931660403</v>
      </c>
      <c r="F56" s="4">
        <v>10.5</v>
      </c>
      <c r="G56" s="4">
        <v>29.9694119316604</v>
      </c>
      <c r="J56" s="4"/>
      <c r="K56" s="4"/>
      <c r="L56" s="4"/>
      <c r="M56" s="4"/>
      <c r="O56" s="4"/>
      <c r="P56" s="4"/>
      <c r="Q56" s="4"/>
      <c r="R56" s="4"/>
      <c r="S56" s="4"/>
      <c r="T56" s="4"/>
      <c r="U56" s="4"/>
      <c r="X56" s="4"/>
      <c r="Y56" s="4"/>
      <c r="Z56" s="4"/>
      <c r="AA56" s="4"/>
    </row>
    <row r="57" spans="1:27" hidden="1" outlineLevel="1" x14ac:dyDescent="0.25">
      <c r="A57" s="8">
        <f t="shared" si="4"/>
        <v>22</v>
      </c>
      <c r="B57" s="4"/>
      <c r="C57" s="4"/>
      <c r="D57" s="4">
        <v>11</v>
      </c>
      <c r="E57" s="4">
        <v>27.186051964238299</v>
      </c>
      <c r="F57" s="4">
        <v>11</v>
      </c>
      <c r="G57" s="4">
        <v>17.186051964238299</v>
      </c>
      <c r="J57" s="4"/>
      <c r="K57" s="4"/>
      <c r="L57" s="4"/>
      <c r="M57" s="4"/>
      <c r="O57" s="4"/>
      <c r="P57" s="4"/>
      <c r="Q57" s="4"/>
      <c r="R57" s="4"/>
      <c r="S57" s="4"/>
      <c r="T57" s="4"/>
      <c r="U57" s="4"/>
      <c r="X57" s="4"/>
      <c r="Y57" s="4"/>
      <c r="Z57" s="4"/>
      <c r="AA57" s="4"/>
    </row>
    <row r="58" spans="1:27" hidden="1" outlineLevel="1" x14ac:dyDescent="0.25">
      <c r="A58" s="8">
        <f t="shared" si="4"/>
        <v>23</v>
      </c>
      <c r="B58" s="4"/>
      <c r="C58" s="4"/>
      <c r="D58" s="4">
        <v>11.6</v>
      </c>
      <c r="E58" s="4">
        <v>34.787950491445201</v>
      </c>
      <c r="F58" s="4">
        <v>11.6</v>
      </c>
      <c r="G58" s="4">
        <v>24.787950491445201</v>
      </c>
      <c r="J58" s="4"/>
      <c r="K58" s="4"/>
      <c r="L58" s="4"/>
      <c r="M58" s="4"/>
      <c r="O58" s="4"/>
      <c r="P58" s="4"/>
      <c r="Q58" s="4"/>
      <c r="R58" s="4"/>
      <c r="S58" s="4"/>
      <c r="T58" s="4"/>
      <c r="U58" s="4"/>
      <c r="X58" s="4"/>
      <c r="Y58" s="4"/>
      <c r="Z58" s="4"/>
      <c r="AA58" s="4"/>
    </row>
    <row r="59" spans="1:27" hidden="1" outlineLevel="1" x14ac:dyDescent="0.25">
      <c r="A59" s="8">
        <f t="shared" si="4"/>
        <v>24</v>
      </c>
      <c r="B59" s="4"/>
      <c r="C59" s="4"/>
      <c r="D59" s="4">
        <v>12.1</v>
      </c>
      <c r="E59" s="4">
        <v>43.708313537726802</v>
      </c>
      <c r="F59" s="4">
        <v>12.1</v>
      </c>
      <c r="G59" s="4">
        <v>33.708313537726802</v>
      </c>
      <c r="J59" s="4"/>
      <c r="K59" s="4"/>
      <c r="L59" s="4"/>
      <c r="M59" s="4"/>
      <c r="O59" s="4"/>
      <c r="P59" s="4"/>
      <c r="Q59" s="4"/>
      <c r="R59" s="4"/>
      <c r="S59" s="4"/>
      <c r="T59" s="4"/>
      <c r="U59" s="4"/>
      <c r="X59" s="4"/>
      <c r="Y59" s="4"/>
      <c r="Z59" s="4"/>
      <c r="AA59" s="4"/>
    </row>
    <row r="60" spans="1:27" hidden="1" outlineLevel="1" x14ac:dyDescent="0.25">
      <c r="A60" s="8">
        <f t="shared" si="4"/>
        <v>25</v>
      </c>
      <c r="B60" s="4"/>
      <c r="C60" s="4"/>
      <c r="D60" s="4">
        <v>12.6</v>
      </c>
      <c r="E60" s="4">
        <v>27.780922794049602</v>
      </c>
      <c r="F60" s="4">
        <v>12.6</v>
      </c>
      <c r="G60" s="4">
        <v>17.780922794049602</v>
      </c>
      <c r="J60" s="4"/>
      <c r="K60" s="4"/>
      <c r="L60" s="4"/>
      <c r="M60" s="4"/>
      <c r="O60" s="4"/>
      <c r="P60" s="4"/>
      <c r="Q60" s="4"/>
      <c r="R60" s="4"/>
      <c r="S60" s="4"/>
      <c r="T60" s="4"/>
      <c r="U60" s="4"/>
      <c r="X60" s="4"/>
      <c r="Y60" s="4"/>
      <c r="Z60" s="4"/>
      <c r="AA60" s="4"/>
    </row>
    <row r="61" spans="1:27" hidden="1" outlineLevel="1" x14ac:dyDescent="0.25">
      <c r="A61" s="8">
        <f t="shared" si="4"/>
        <v>26</v>
      </c>
      <c r="B61" s="4"/>
      <c r="C61" s="4"/>
      <c r="D61" s="4">
        <v>13</v>
      </c>
      <c r="E61" s="4">
        <v>33.862904370252899</v>
      </c>
      <c r="F61" s="4">
        <v>13</v>
      </c>
      <c r="G61" s="4">
        <v>23.862904370252899</v>
      </c>
      <c r="J61" s="4"/>
      <c r="K61" s="4"/>
      <c r="L61" s="4"/>
      <c r="M61" s="4"/>
      <c r="O61" s="4"/>
      <c r="P61" s="4"/>
      <c r="Q61" s="4"/>
      <c r="R61" s="4"/>
      <c r="S61" s="4"/>
      <c r="T61" s="4"/>
      <c r="U61" s="4"/>
      <c r="X61" s="4"/>
      <c r="Y61" s="4"/>
      <c r="Z61" s="4"/>
      <c r="AA61" s="4"/>
    </row>
    <row r="62" spans="1:27" hidden="1" outlineLevel="1" x14ac:dyDescent="0.25">
      <c r="A62" s="8">
        <f t="shared" si="4"/>
        <v>27</v>
      </c>
      <c r="B62" s="4"/>
      <c r="C62" s="4"/>
      <c r="D62" s="4">
        <v>13.6</v>
      </c>
      <c r="E62" s="4">
        <v>44.506487817218201</v>
      </c>
      <c r="F62" s="4">
        <v>13.6</v>
      </c>
      <c r="G62" s="4">
        <v>34.506487817218201</v>
      </c>
      <c r="J62" s="4"/>
      <c r="K62" s="4"/>
      <c r="L62" s="4"/>
      <c r="M62" s="4"/>
      <c r="O62" s="4"/>
      <c r="P62" s="4"/>
      <c r="Q62" s="4"/>
      <c r="R62" s="4"/>
      <c r="S62" s="4"/>
      <c r="T62" s="4"/>
      <c r="U62" s="4"/>
      <c r="X62" s="4"/>
      <c r="Y62" s="4"/>
      <c r="Z62" s="4"/>
      <c r="AA62" s="4"/>
    </row>
    <row r="63" spans="1:27" hidden="1" outlineLevel="1" x14ac:dyDescent="0.25">
      <c r="A63" s="8">
        <f t="shared" si="4"/>
        <v>28</v>
      </c>
      <c r="B63" s="4"/>
      <c r="C63" s="4"/>
      <c r="D63" s="4">
        <v>14.1</v>
      </c>
      <c r="E63" s="4">
        <v>34.867621380488998</v>
      </c>
      <c r="F63" s="4">
        <v>14.1</v>
      </c>
      <c r="G63" s="4">
        <v>24.867621380488998</v>
      </c>
      <c r="J63" s="4"/>
      <c r="K63" s="4"/>
      <c r="L63" s="4"/>
      <c r="M63" s="4"/>
      <c r="O63" s="4"/>
      <c r="P63" s="4"/>
      <c r="Q63" s="4"/>
      <c r="R63" s="4"/>
      <c r="S63" s="4"/>
      <c r="T63" s="4"/>
      <c r="U63" s="4"/>
      <c r="X63" s="4"/>
      <c r="Y63" s="4"/>
      <c r="Z63" s="4"/>
      <c r="AA63" s="4"/>
    </row>
    <row r="64" spans="1:27" hidden="1" outlineLevel="1" x14ac:dyDescent="0.25">
      <c r="A64" s="8">
        <f t="shared" si="4"/>
        <v>29</v>
      </c>
      <c r="B64" s="4"/>
      <c r="C64" s="4"/>
      <c r="D64" s="4">
        <v>14.6</v>
      </c>
      <c r="E64" s="4">
        <v>38.006561857928197</v>
      </c>
      <c r="F64" s="4">
        <v>14.6</v>
      </c>
      <c r="G64" s="4">
        <v>28.006561857928201</v>
      </c>
      <c r="J64" s="4"/>
      <c r="K64" s="4"/>
      <c r="L64" s="4"/>
      <c r="M64" s="4"/>
      <c r="O64" s="4"/>
      <c r="P64" s="4"/>
      <c r="Q64" s="4"/>
      <c r="R64" s="4"/>
      <c r="S64" s="4"/>
      <c r="T64" s="4"/>
      <c r="U64" s="4"/>
      <c r="X64" s="4"/>
      <c r="Y64" s="4"/>
      <c r="Z64" s="4"/>
      <c r="AA64" s="4"/>
    </row>
    <row r="65" spans="1:27" hidden="1" outlineLevel="1" x14ac:dyDescent="0.25">
      <c r="A65" s="8">
        <f t="shared" si="4"/>
        <v>30</v>
      </c>
      <c r="B65" s="4"/>
      <c r="C65" s="4"/>
      <c r="D65" s="4">
        <v>15.1</v>
      </c>
      <c r="E65" s="4">
        <v>51.390114331196401</v>
      </c>
      <c r="F65" s="4">
        <v>15.1</v>
      </c>
      <c r="G65" s="4">
        <v>41.390114331196401</v>
      </c>
      <c r="J65" s="4"/>
      <c r="K65" s="4"/>
      <c r="L65" s="4"/>
      <c r="M65" s="4"/>
      <c r="O65" s="4"/>
      <c r="P65" s="4"/>
      <c r="Q65" s="4"/>
      <c r="R65" s="4"/>
      <c r="S65" s="4"/>
      <c r="T65" s="4"/>
      <c r="U65" s="4"/>
      <c r="X65" s="4"/>
      <c r="Y65" s="4"/>
      <c r="Z65" s="4"/>
      <c r="AA65" s="4"/>
    </row>
    <row r="66" spans="1:27" hidden="1" outlineLevel="1" x14ac:dyDescent="0.25">
      <c r="A66" s="8">
        <f t="shared" si="4"/>
        <v>31</v>
      </c>
      <c r="B66" s="4"/>
      <c r="C66" s="4"/>
      <c r="D66" s="4">
        <v>15.7</v>
      </c>
      <c r="E66" s="4">
        <v>35.664407396666903</v>
      </c>
      <c r="F66" s="4">
        <v>15.7</v>
      </c>
      <c r="G66" s="4">
        <v>25.664407396666899</v>
      </c>
      <c r="J66" s="4"/>
      <c r="K66" s="4"/>
      <c r="L66" s="4"/>
      <c r="M66" s="4"/>
      <c r="O66" s="4"/>
      <c r="P66" s="4"/>
      <c r="Q66" s="4"/>
      <c r="R66" s="4"/>
      <c r="S66" s="4"/>
      <c r="T66" s="4"/>
      <c r="U66" s="4"/>
      <c r="X66" s="4"/>
      <c r="Y66" s="4"/>
      <c r="Z66" s="4"/>
      <c r="AA66" s="4"/>
    </row>
    <row r="67" spans="1:27" hidden="1" outlineLevel="1" x14ac:dyDescent="0.25">
      <c r="A67" s="8">
        <f t="shared" si="4"/>
        <v>32</v>
      </c>
      <c r="B67" s="4"/>
      <c r="C67" s="4"/>
      <c r="D67" s="4">
        <v>16</v>
      </c>
      <c r="E67" s="4">
        <v>39.414646486459802</v>
      </c>
      <c r="F67" s="4">
        <v>16</v>
      </c>
      <c r="G67" s="4">
        <v>29.414646486459802</v>
      </c>
      <c r="J67" s="4"/>
      <c r="K67" s="4"/>
      <c r="L67" s="4"/>
      <c r="M67" s="4"/>
      <c r="O67" s="4"/>
      <c r="P67" s="4"/>
      <c r="Q67" s="4"/>
      <c r="R67" s="4"/>
      <c r="S67" s="4"/>
      <c r="T67" s="4"/>
      <c r="U67" s="4"/>
      <c r="X67" s="4"/>
      <c r="Y67" s="4"/>
      <c r="Z67" s="4"/>
      <c r="AA67" s="4"/>
    </row>
    <row r="68" spans="1:27" hidden="1" outlineLevel="1" x14ac:dyDescent="0.25">
      <c r="A68" s="8">
        <f t="shared" si="4"/>
        <v>33</v>
      </c>
      <c r="B68" s="4"/>
      <c r="C68" s="4"/>
      <c r="D68" s="4">
        <v>17.100000000000001</v>
      </c>
      <c r="E68" s="4">
        <v>38.694986209917801</v>
      </c>
      <c r="F68" s="4">
        <v>17.100000000000001</v>
      </c>
      <c r="G68" s="4">
        <v>28.694986209917801</v>
      </c>
      <c r="J68" s="4"/>
      <c r="K68" s="4"/>
      <c r="L68" s="4"/>
      <c r="M68" s="4"/>
      <c r="O68" s="4"/>
      <c r="P68" s="4"/>
      <c r="Q68" s="4"/>
      <c r="R68" s="4"/>
      <c r="S68" s="4"/>
      <c r="T68" s="4"/>
      <c r="U68" s="4"/>
      <c r="X68" s="4"/>
      <c r="Y68" s="4"/>
      <c r="Z68" s="4"/>
      <c r="AA68" s="4"/>
    </row>
    <row r="69" spans="1:27" hidden="1" outlineLevel="1" x14ac:dyDescent="0.25">
      <c r="A69" s="8">
        <f t="shared" si="4"/>
        <v>34</v>
      </c>
      <c r="B69" s="4"/>
      <c r="C69" s="4"/>
      <c r="D69" s="4">
        <v>17.600000000000001</v>
      </c>
      <c r="E69" s="4">
        <v>41.023489415263498</v>
      </c>
      <c r="F69" s="4">
        <v>17.600000000000001</v>
      </c>
      <c r="G69" s="4">
        <v>31.023489415263501</v>
      </c>
      <c r="J69" s="4"/>
      <c r="K69" s="4"/>
      <c r="L69" s="4"/>
      <c r="M69" s="4"/>
      <c r="O69" s="4"/>
      <c r="P69" s="4"/>
      <c r="Q69" s="4"/>
      <c r="R69" s="4"/>
      <c r="S69" s="4"/>
      <c r="T69" s="4"/>
      <c r="U69" s="4"/>
      <c r="X69" s="4"/>
      <c r="Y69" s="4"/>
      <c r="Z69" s="4"/>
      <c r="AA69" s="4"/>
    </row>
    <row r="70" spans="1:27" hidden="1" outlineLevel="1" x14ac:dyDescent="0.25">
      <c r="A70" s="8">
        <f t="shared" si="4"/>
        <v>35</v>
      </c>
      <c r="B70" s="4"/>
      <c r="C70" s="4"/>
      <c r="D70" s="4">
        <v>18.600000000000001</v>
      </c>
      <c r="E70" s="4">
        <v>48.621685906967798</v>
      </c>
      <c r="F70" s="4">
        <v>18.600000000000001</v>
      </c>
      <c r="G70" s="4">
        <v>38.621685906967798</v>
      </c>
      <c r="J70" s="4"/>
      <c r="K70" s="4"/>
      <c r="L70" s="4"/>
      <c r="M70" s="4"/>
      <c r="O70" s="4"/>
      <c r="P70" s="4"/>
      <c r="Q70" s="4"/>
      <c r="R70" s="4"/>
      <c r="S70" s="4"/>
      <c r="T70" s="4"/>
      <c r="U70" s="4"/>
      <c r="X70" s="4"/>
      <c r="Y70" s="4"/>
      <c r="Z70" s="4"/>
      <c r="AA70" s="4"/>
    </row>
    <row r="71" spans="1:27" hidden="1" outlineLevel="1" x14ac:dyDescent="0.25">
      <c r="A71" s="8">
        <f t="shared" si="4"/>
        <v>36</v>
      </c>
      <c r="B71" s="4"/>
      <c r="C71" s="4"/>
      <c r="D71" s="4">
        <v>19.100000000000001</v>
      </c>
      <c r="E71" s="4">
        <v>43.140590968267396</v>
      </c>
      <c r="F71" s="4">
        <v>19.100000000000001</v>
      </c>
      <c r="G71" s="4">
        <v>33.140590968267396</v>
      </c>
      <c r="J71" s="4"/>
      <c r="K71" s="4"/>
      <c r="L71" s="4"/>
      <c r="M71" s="4"/>
      <c r="O71" s="4"/>
      <c r="P71" s="4"/>
      <c r="Q71" s="4"/>
      <c r="R71" s="4"/>
      <c r="S71" s="4"/>
      <c r="T71" s="4"/>
      <c r="U71" s="4"/>
      <c r="X71" s="4"/>
      <c r="Y71" s="4"/>
      <c r="Z71" s="4"/>
      <c r="AA71" s="4"/>
    </row>
    <row r="72" spans="1:27" hidden="1" outlineLevel="1" x14ac:dyDescent="0.25">
      <c r="A72" s="8">
        <f t="shared" si="4"/>
        <v>37</v>
      </c>
      <c r="B72" s="4"/>
      <c r="C72" s="4"/>
      <c r="D72" s="4">
        <v>19.899999999999999</v>
      </c>
      <c r="E72" s="4">
        <v>43.843129330610303</v>
      </c>
      <c r="F72" s="4">
        <v>19.899999999999999</v>
      </c>
      <c r="G72" s="4">
        <v>33.843129330610303</v>
      </c>
      <c r="J72" s="4"/>
      <c r="K72" s="4"/>
      <c r="L72" s="4"/>
      <c r="M72" s="4"/>
      <c r="O72" s="4"/>
      <c r="P72" s="4"/>
      <c r="Q72" s="4"/>
      <c r="R72" s="4"/>
      <c r="S72" s="4"/>
      <c r="T72" s="4"/>
      <c r="U72" s="4"/>
      <c r="X72" s="4"/>
      <c r="Y72" s="4"/>
      <c r="Z72" s="4"/>
      <c r="AA72" s="4"/>
    </row>
    <row r="73" spans="1:27" hidden="1" outlineLevel="1" x14ac:dyDescent="0.25">
      <c r="A73" s="8">
        <f t="shared" si="4"/>
        <v>38</v>
      </c>
      <c r="B73" s="4"/>
      <c r="C73" s="4"/>
      <c r="D73" s="4">
        <v>20</v>
      </c>
      <c r="E73" s="4">
        <v>64.126736100399199</v>
      </c>
      <c r="F73" s="4">
        <v>20</v>
      </c>
      <c r="G73" s="4">
        <v>54.126736100399199</v>
      </c>
      <c r="J73" s="4"/>
      <c r="K73" s="4"/>
      <c r="L73" s="4"/>
      <c r="M73" s="4"/>
      <c r="O73" s="4"/>
      <c r="P73" s="4"/>
      <c r="Q73" s="4"/>
      <c r="R73" s="4"/>
      <c r="S73" s="4"/>
      <c r="T73" s="4"/>
      <c r="U73" s="4"/>
      <c r="X73" s="4"/>
      <c r="Y73" s="4"/>
      <c r="Z73" s="4"/>
      <c r="AA73" s="4"/>
    </row>
    <row r="74" spans="1:27" hidden="1" outlineLevel="1" x14ac:dyDescent="0.25">
      <c r="A74" s="8">
        <f t="shared" si="4"/>
        <v>39</v>
      </c>
      <c r="B74" s="4"/>
      <c r="C74" s="4"/>
      <c r="D74" s="4">
        <v>20.6</v>
      </c>
      <c r="E74" s="4">
        <v>43.837576277356497</v>
      </c>
      <c r="F74" s="4">
        <v>20.6</v>
      </c>
      <c r="G74" s="4">
        <v>33.837576277356497</v>
      </c>
      <c r="J74" s="4"/>
      <c r="K74" s="4"/>
      <c r="L74" s="4"/>
      <c r="M74" s="4"/>
      <c r="O74" s="4"/>
      <c r="P74" s="4"/>
      <c r="Q74" s="4"/>
      <c r="R74" s="4"/>
      <c r="S74" s="4"/>
      <c r="T74" s="4"/>
      <c r="U74" s="4"/>
      <c r="X74" s="4"/>
      <c r="Y74" s="4"/>
      <c r="Z74" s="4"/>
      <c r="AA74" s="4"/>
    </row>
    <row r="75" spans="1:27" hidden="1" outlineLevel="1" x14ac:dyDescent="0.25">
      <c r="A75" s="8">
        <f t="shared" si="4"/>
        <v>40</v>
      </c>
      <c r="B75" s="4"/>
      <c r="C75" s="4"/>
      <c r="D75" s="4">
        <v>21.3</v>
      </c>
      <c r="E75" s="4">
        <v>43.2221128750625</v>
      </c>
      <c r="F75" s="4">
        <v>21.3</v>
      </c>
      <c r="G75" s="4">
        <v>33.2221128750625</v>
      </c>
      <c r="J75" s="4"/>
      <c r="K75" s="4"/>
      <c r="L75" s="4"/>
      <c r="M75" s="4"/>
      <c r="O75" s="4"/>
      <c r="P75" s="4"/>
      <c r="Q75" s="4"/>
      <c r="R75" s="4"/>
      <c r="S75" s="4"/>
      <c r="T75" s="4"/>
      <c r="U75" s="4"/>
      <c r="X75" s="4"/>
      <c r="Y75" s="4"/>
      <c r="Z75" s="4"/>
      <c r="AA75" s="4"/>
    </row>
    <row r="76" spans="1:27" hidden="1" outlineLevel="1" x14ac:dyDescent="0.25">
      <c r="A76" s="8">
        <f t="shared" si="4"/>
        <v>41</v>
      </c>
      <c r="B76" s="4"/>
      <c r="C76" s="4"/>
      <c r="D76" s="4">
        <v>21.6</v>
      </c>
      <c r="E76" s="4">
        <v>63.909550017584699</v>
      </c>
      <c r="F76" s="4">
        <v>21.6</v>
      </c>
      <c r="G76" s="4">
        <v>53.909550017584699</v>
      </c>
      <c r="J76" s="4"/>
      <c r="K76" s="4"/>
      <c r="L76" s="4"/>
      <c r="M76" s="4"/>
      <c r="O76" s="4"/>
      <c r="P76" s="4"/>
      <c r="Q76" s="4"/>
      <c r="R76" s="4"/>
      <c r="S76" s="4"/>
      <c r="T76" s="4"/>
      <c r="U76" s="4"/>
      <c r="X76" s="4"/>
      <c r="Y76" s="4"/>
      <c r="Z76" s="4"/>
      <c r="AA76" s="4"/>
    </row>
    <row r="77" spans="1:27" hidden="1" outlineLevel="1" x14ac:dyDescent="0.25">
      <c r="A77" s="8">
        <f t="shared" si="4"/>
        <v>42</v>
      </c>
      <c r="B77" s="4"/>
      <c r="C77" s="4"/>
      <c r="D77" s="4">
        <v>22.1</v>
      </c>
      <c r="E77" s="4">
        <v>49.706305183466696</v>
      </c>
      <c r="F77" s="4">
        <v>22.1</v>
      </c>
      <c r="G77" s="4">
        <v>39.706305183466696</v>
      </c>
      <c r="J77" s="4"/>
      <c r="K77" s="4"/>
      <c r="L77" s="4"/>
      <c r="M77" s="4"/>
      <c r="O77" s="4"/>
      <c r="P77" s="4"/>
      <c r="Q77" s="4"/>
      <c r="R77" s="4"/>
      <c r="S77" s="4"/>
      <c r="T77" s="4"/>
      <c r="U77" s="4"/>
      <c r="X77" s="4"/>
      <c r="Y77" s="4"/>
      <c r="Z77" s="4"/>
      <c r="AA77" s="4"/>
    </row>
    <row r="78" spans="1:27" hidden="1" outlineLevel="1" x14ac:dyDescent="0.25">
      <c r="A78" s="8">
        <f t="shared" si="4"/>
        <v>43</v>
      </c>
      <c r="B78" s="4"/>
      <c r="C78" s="4"/>
      <c r="D78" s="4">
        <v>23</v>
      </c>
      <c r="E78" s="4">
        <v>64.709112560389499</v>
      </c>
      <c r="F78" s="4">
        <v>23</v>
      </c>
      <c r="G78" s="4">
        <v>54.709112560389499</v>
      </c>
      <c r="J78" s="4"/>
      <c r="K78" s="4"/>
      <c r="L78" s="4"/>
      <c r="M78" s="4"/>
      <c r="O78" s="4"/>
      <c r="P78" s="4"/>
      <c r="Q78" s="4"/>
      <c r="R78" s="4"/>
      <c r="S78" s="4"/>
      <c r="T78" s="4"/>
      <c r="U78" s="4"/>
      <c r="X78" s="4"/>
      <c r="Y78" s="4"/>
      <c r="Z78" s="4"/>
      <c r="AA78" s="4"/>
    </row>
    <row r="79" spans="1:27" hidden="1" outlineLevel="1" x14ac:dyDescent="0.25">
      <c r="A79" s="8">
        <f t="shared" si="4"/>
        <v>44</v>
      </c>
      <c r="B79" s="4"/>
      <c r="C79" s="4"/>
      <c r="D79" s="4">
        <v>23.2</v>
      </c>
      <c r="E79" s="4">
        <v>48.8856873137413</v>
      </c>
      <c r="F79" s="4">
        <v>23.2</v>
      </c>
      <c r="G79" s="4">
        <v>38.8856873137413</v>
      </c>
      <c r="J79" s="4"/>
      <c r="K79" s="4"/>
      <c r="L79" s="4"/>
      <c r="M79" s="4"/>
      <c r="O79" s="4"/>
      <c r="P79" s="4"/>
      <c r="Q79" s="4"/>
      <c r="R79" s="4"/>
      <c r="S79" s="4"/>
      <c r="T79" s="4"/>
      <c r="U79" s="4"/>
      <c r="X79" s="4"/>
      <c r="Y79" s="4"/>
      <c r="Z79" s="4"/>
      <c r="AA79" s="4"/>
    </row>
    <row r="80" spans="1:27" hidden="1" outlineLevel="1" x14ac:dyDescent="0.25">
      <c r="A80" s="8">
        <f t="shared" si="4"/>
        <v>45</v>
      </c>
      <c r="B80" s="4"/>
      <c r="C80" s="4"/>
      <c r="D80" s="4">
        <v>23.6</v>
      </c>
      <c r="E80" s="4">
        <v>54.054654384135603</v>
      </c>
      <c r="F80" s="4">
        <v>23.6</v>
      </c>
      <c r="G80" s="4">
        <v>44.054654384135603</v>
      </c>
      <c r="J80" s="4"/>
      <c r="K80" s="4"/>
      <c r="L80" s="4"/>
      <c r="M80" s="4"/>
      <c r="O80" s="4"/>
      <c r="P80" s="4"/>
      <c r="Q80" s="4"/>
      <c r="R80" s="4"/>
      <c r="S80" s="4"/>
      <c r="T80" s="4"/>
      <c r="U80" s="4"/>
      <c r="X80" s="4"/>
      <c r="Y80" s="4"/>
      <c r="Z80" s="4"/>
      <c r="AA80" s="4"/>
    </row>
    <row r="81" spans="1:27" hidden="1" outlineLevel="1" x14ac:dyDescent="0.25">
      <c r="A81" s="8">
        <f t="shared" si="4"/>
        <v>46</v>
      </c>
      <c r="B81" s="4"/>
      <c r="C81" s="4"/>
      <c r="D81" s="4">
        <v>24.5</v>
      </c>
      <c r="E81" s="4">
        <v>64.290474045646107</v>
      </c>
      <c r="F81" s="4">
        <v>24.5</v>
      </c>
      <c r="G81" s="4">
        <v>54.290474045646107</v>
      </c>
      <c r="J81" s="4"/>
      <c r="K81" s="4"/>
      <c r="L81" s="4"/>
      <c r="M81" s="4"/>
      <c r="O81" s="4"/>
      <c r="P81" s="4"/>
      <c r="Q81" s="4"/>
      <c r="R81" s="4"/>
      <c r="S81" s="4"/>
      <c r="T81" s="4"/>
      <c r="U81" s="4"/>
      <c r="X81" s="4"/>
      <c r="Y81" s="4"/>
      <c r="Z81" s="4"/>
      <c r="AA81" s="4"/>
    </row>
    <row r="82" spans="1:27" hidden="1" outlineLevel="1" x14ac:dyDescent="0.25">
      <c r="A82" s="8">
        <f t="shared" si="4"/>
        <v>47</v>
      </c>
      <c r="B82" s="4"/>
      <c r="C82" s="4"/>
      <c r="D82" s="4">
        <v>24.6</v>
      </c>
      <c r="E82" s="4">
        <v>51.002788866745199</v>
      </c>
      <c r="F82" s="4">
        <v>24.6</v>
      </c>
      <c r="G82" s="4">
        <v>41.002788866745199</v>
      </c>
      <c r="J82" s="4"/>
      <c r="K82" s="4"/>
      <c r="L82" s="4"/>
      <c r="M82" s="4"/>
      <c r="O82" s="4"/>
      <c r="P82" s="4"/>
      <c r="Q82" s="4"/>
      <c r="R82" s="4"/>
      <c r="S82" s="4"/>
      <c r="T82" s="4"/>
      <c r="U82" s="4"/>
      <c r="X82" s="4"/>
      <c r="Y82" s="4"/>
      <c r="Z82" s="4"/>
      <c r="AA82" s="4"/>
    </row>
    <row r="83" spans="1:27" hidden="1" outlineLevel="1" x14ac:dyDescent="0.25">
      <c r="A83" s="8">
        <f t="shared" si="4"/>
        <v>48</v>
      </c>
      <c r="B83" s="4"/>
      <c r="C83" s="4"/>
      <c r="D83" s="4">
        <v>25.2</v>
      </c>
      <c r="E83" s="4">
        <v>56.880078729955002</v>
      </c>
      <c r="F83" s="4">
        <v>25.2</v>
      </c>
      <c r="G83" s="4">
        <v>46.880078729955002</v>
      </c>
      <c r="J83" s="4"/>
      <c r="K83" s="4"/>
      <c r="L83" s="4"/>
      <c r="M83" s="4"/>
      <c r="O83" s="4"/>
      <c r="P83" s="4"/>
      <c r="Q83" s="4"/>
      <c r="R83" s="4"/>
      <c r="S83" s="4"/>
      <c r="T83" s="4"/>
      <c r="U83" s="4"/>
      <c r="X83" s="4"/>
      <c r="Y83" s="4"/>
      <c r="Z83" s="4"/>
      <c r="AA83" s="4"/>
    </row>
    <row r="84" spans="1:27" hidden="1" outlineLevel="1" x14ac:dyDescent="0.25">
      <c r="A84" s="8">
        <f t="shared" si="4"/>
        <v>49</v>
      </c>
      <c r="B84" s="4"/>
      <c r="C84" s="4"/>
      <c r="D84" s="4">
        <v>25.9</v>
      </c>
      <c r="E84" s="4">
        <v>66.306618005466703</v>
      </c>
      <c r="F84" s="4">
        <v>25.9</v>
      </c>
      <c r="G84" s="4">
        <v>56.306618005466703</v>
      </c>
      <c r="J84" s="4"/>
      <c r="K84" s="4"/>
      <c r="L84" s="4"/>
      <c r="M84" s="4"/>
      <c r="O84" s="4"/>
      <c r="P84" s="4"/>
      <c r="Q84" s="4"/>
      <c r="R84" s="4"/>
      <c r="S84" s="4"/>
      <c r="T84" s="4"/>
      <c r="U84" s="4"/>
      <c r="X84" s="4"/>
      <c r="Y84" s="4"/>
      <c r="Z84" s="4"/>
      <c r="AA84" s="4"/>
    </row>
    <row r="85" spans="1:27" hidden="1" outlineLevel="1" x14ac:dyDescent="0.25">
      <c r="A85" s="8">
        <f t="shared" si="4"/>
        <v>50</v>
      </c>
      <c r="B85" s="4"/>
      <c r="C85" s="4"/>
      <c r="D85" s="4">
        <v>26.2</v>
      </c>
      <c r="E85" s="4">
        <v>52.206413159502198</v>
      </c>
      <c r="F85" s="4">
        <v>26.2</v>
      </c>
      <c r="G85" s="4">
        <v>42.206413159502198</v>
      </c>
      <c r="J85" s="4"/>
      <c r="K85" s="4"/>
      <c r="L85" s="4"/>
      <c r="M85" s="4"/>
      <c r="O85" s="4"/>
      <c r="P85" s="4"/>
      <c r="Q85" s="4"/>
      <c r="R85" s="4"/>
      <c r="S85" s="4"/>
      <c r="T85" s="4"/>
      <c r="U85" s="4"/>
      <c r="X85" s="4"/>
      <c r="Y85" s="4"/>
      <c r="Z85" s="4"/>
      <c r="AA85" s="4"/>
    </row>
    <row r="86" spans="1:27" hidden="1" outlineLevel="1" x14ac:dyDescent="0.25">
      <c r="A86" s="8">
        <f t="shared" si="4"/>
        <v>51</v>
      </c>
      <c r="B86" s="4"/>
      <c r="C86" s="4"/>
      <c r="D86" s="4">
        <v>26.5</v>
      </c>
      <c r="E86" s="4">
        <v>58.897148198651202</v>
      </c>
      <c r="F86" s="4">
        <v>26.5</v>
      </c>
      <c r="G86" s="4">
        <v>48.897148198651202</v>
      </c>
      <c r="J86" s="4"/>
      <c r="K86" s="4"/>
      <c r="L86" s="4"/>
      <c r="M86" s="4"/>
      <c r="O86" s="4"/>
      <c r="P86" s="4"/>
      <c r="Q86" s="4"/>
      <c r="R86" s="4"/>
      <c r="S86" s="4"/>
      <c r="T86" s="4"/>
      <c r="U86" s="4"/>
      <c r="X86" s="4"/>
      <c r="Y86" s="4"/>
      <c r="Z86" s="4"/>
      <c r="AA86" s="4"/>
    </row>
    <row r="87" spans="1:27" hidden="1" outlineLevel="1" x14ac:dyDescent="0.25">
      <c r="A87" s="8">
        <f t="shared" si="4"/>
        <v>52</v>
      </c>
      <c r="B87" s="4"/>
      <c r="C87" s="4"/>
      <c r="D87" s="4">
        <v>27.6</v>
      </c>
      <c r="E87" s="4">
        <v>68.928738901606096</v>
      </c>
      <c r="F87" s="4">
        <v>27.6</v>
      </c>
      <c r="G87" s="4">
        <v>58.928738901606103</v>
      </c>
      <c r="J87" s="4"/>
      <c r="K87" s="4"/>
      <c r="L87" s="4"/>
      <c r="M87" s="4"/>
      <c r="O87" s="4"/>
      <c r="P87" s="4"/>
      <c r="Q87" s="4"/>
      <c r="R87" s="4"/>
      <c r="S87" s="4"/>
      <c r="T87" s="4"/>
      <c r="U87" s="4"/>
      <c r="X87" s="4"/>
      <c r="Y87" s="4"/>
      <c r="Z87" s="4"/>
      <c r="AA87" s="4"/>
    </row>
    <row r="88" spans="1:27" hidden="1" outlineLevel="1" x14ac:dyDescent="0.25">
      <c r="A88" s="8">
        <f t="shared" si="4"/>
        <v>53</v>
      </c>
      <c r="B88" s="4"/>
      <c r="C88" s="4"/>
      <c r="D88" s="4">
        <v>27.6</v>
      </c>
      <c r="E88" s="4">
        <v>54.932499552670699</v>
      </c>
      <c r="F88" s="4">
        <v>27.6</v>
      </c>
      <c r="G88" s="4">
        <v>44.932499552670699</v>
      </c>
      <c r="J88" s="4"/>
      <c r="K88" s="4"/>
      <c r="L88" s="4"/>
      <c r="M88" s="4"/>
      <c r="O88" s="4"/>
      <c r="P88" s="4"/>
      <c r="Q88" s="4"/>
      <c r="R88" s="4"/>
      <c r="S88" s="4"/>
      <c r="T88" s="4"/>
      <c r="U88" s="4"/>
      <c r="X88" s="4"/>
      <c r="Y88" s="4"/>
      <c r="Z88" s="4"/>
      <c r="AA88" s="4"/>
    </row>
    <row r="89" spans="1:27" hidden="1" outlineLevel="1" x14ac:dyDescent="0.25">
      <c r="A89" s="8">
        <f t="shared" si="4"/>
        <v>54</v>
      </c>
      <c r="B89" s="4"/>
      <c r="C89" s="4"/>
      <c r="D89" s="4">
        <v>28</v>
      </c>
      <c r="E89" s="4">
        <v>64.969180554441493</v>
      </c>
      <c r="F89" s="4">
        <v>28</v>
      </c>
      <c r="G89" s="4">
        <v>54.969180554441493</v>
      </c>
      <c r="J89" s="4"/>
      <c r="K89" s="4"/>
      <c r="L89" s="4"/>
      <c r="M89" s="4"/>
      <c r="O89" s="4"/>
      <c r="P89" s="4"/>
      <c r="Q89" s="4"/>
      <c r="R89" s="4"/>
      <c r="S89" s="4"/>
      <c r="T89" s="4"/>
      <c r="U89" s="4"/>
      <c r="X89" s="4"/>
      <c r="Y89" s="4"/>
      <c r="Z89" s="4"/>
      <c r="AA89" s="4"/>
    </row>
    <row r="90" spans="1:27" hidden="1" outlineLevel="1" x14ac:dyDescent="0.25">
      <c r="A90" s="8">
        <f t="shared" si="4"/>
        <v>55</v>
      </c>
      <c r="B90" s="4"/>
      <c r="C90" s="4"/>
      <c r="D90" s="4">
        <v>28.9</v>
      </c>
      <c r="E90" s="4">
        <v>66.787111363397997</v>
      </c>
      <c r="F90" s="4">
        <v>28.9</v>
      </c>
      <c r="G90" s="4">
        <v>56.787111363397997</v>
      </c>
      <c r="J90" s="4"/>
      <c r="K90" s="4"/>
      <c r="L90" s="4"/>
      <c r="M90" s="4"/>
      <c r="O90" s="4"/>
      <c r="P90" s="4"/>
      <c r="Q90" s="4"/>
      <c r="R90" s="4"/>
      <c r="S90" s="4"/>
      <c r="T90" s="4"/>
      <c r="U90" s="4"/>
      <c r="X90" s="4"/>
      <c r="Y90" s="4"/>
      <c r="Z90" s="4"/>
      <c r="AA90" s="4"/>
    </row>
    <row r="91" spans="1:27" hidden="1" outlineLevel="1" x14ac:dyDescent="0.25">
      <c r="A91" s="8">
        <f t="shared" si="4"/>
        <v>56</v>
      </c>
      <c r="B91" s="4"/>
      <c r="C91" s="4"/>
      <c r="D91" s="4">
        <v>29.1</v>
      </c>
      <c r="E91" s="4">
        <v>49.645452974893999</v>
      </c>
      <c r="F91" s="4">
        <v>29.1</v>
      </c>
      <c r="G91" s="4">
        <v>39.645452974893999</v>
      </c>
      <c r="J91" s="4"/>
      <c r="K91" s="4"/>
      <c r="L91" s="4"/>
      <c r="M91" s="4"/>
      <c r="O91" s="4"/>
      <c r="P91" s="4"/>
      <c r="Q91" s="4"/>
      <c r="R91" s="4"/>
      <c r="S91" s="4"/>
      <c r="T91" s="4"/>
      <c r="U91" s="4"/>
      <c r="X91" s="4"/>
      <c r="Y91" s="4"/>
      <c r="Z91" s="4"/>
      <c r="AA91" s="4"/>
    </row>
    <row r="92" spans="1:27" hidden="1" outlineLevel="1" x14ac:dyDescent="0.25">
      <c r="A92" s="8">
        <f t="shared" si="4"/>
        <v>57</v>
      </c>
      <c r="B92" s="4"/>
      <c r="C92" s="4"/>
      <c r="D92" s="4">
        <v>29.2</v>
      </c>
      <c r="E92" s="4">
        <v>66.784334836771095</v>
      </c>
      <c r="F92" s="4">
        <v>29.2</v>
      </c>
      <c r="G92" s="4">
        <v>56.784334836771087</v>
      </c>
      <c r="J92" s="4"/>
      <c r="K92" s="4"/>
      <c r="L92" s="4"/>
      <c r="M92" s="4"/>
      <c r="O92" s="4"/>
      <c r="P92" s="4"/>
      <c r="Q92" s="4"/>
      <c r="R92" s="4"/>
      <c r="S92" s="4"/>
      <c r="T92" s="4"/>
      <c r="U92" s="4"/>
      <c r="X92" s="4"/>
      <c r="Y92" s="4"/>
      <c r="Z92" s="4"/>
      <c r="AA92" s="4"/>
    </row>
    <row r="93" spans="1:27" hidden="1" outlineLevel="1" x14ac:dyDescent="0.25">
      <c r="A93" s="8">
        <f t="shared" si="4"/>
        <v>58</v>
      </c>
      <c r="B93" s="4"/>
      <c r="C93" s="4"/>
      <c r="D93" s="4">
        <v>29.6</v>
      </c>
      <c r="E93" s="4">
        <v>66.781326932925296</v>
      </c>
      <c r="F93" s="4">
        <v>29.6</v>
      </c>
      <c r="G93" s="4">
        <v>56.781326932925303</v>
      </c>
      <c r="J93" s="4"/>
      <c r="K93" s="4"/>
      <c r="L93" s="4"/>
      <c r="M93" s="4"/>
      <c r="O93" s="4"/>
      <c r="P93" s="4"/>
      <c r="Q93" s="4"/>
      <c r="R93" s="4"/>
      <c r="S93" s="4"/>
      <c r="T93" s="4"/>
      <c r="U93" s="4"/>
      <c r="X93" s="4"/>
      <c r="Y93" s="4"/>
      <c r="Z93" s="4"/>
      <c r="AA93" s="4"/>
    </row>
    <row r="94" spans="1:27" hidden="1" outlineLevel="1" x14ac:dyDescent="0.25">
      <c r="A94" s="8">
        <f t="shared" si="4"/>
        <v>59</v>
      </c>
      <c r="B94" s="4"/>
      <c r="C94" s="4"/>
      <c r="D94" s="4">
        <v>30.5</v>
      </c>
      <c r="E94" s="4">
        <v>68.598563610225</v>
      </c>
      <c r="F94" s="4">
        <v>30.5</v>
      </c>
      <c r="G94" s="4">
        <v>58.598563610225</v>
      </c>
      <c r="J94" s="4"/>
      <c r="K94" s="4"/>
      <c r="L94" s="4"/>
      <c r="M94" s="4"/>
      <c r="O94" s="4"/>
      <c r="P94" s="4"/>
      <c r="Q94" s="4"/>
      <c r="R94" s="4"/>
      <c r="S94" s="4"/>
      <c r="T94" s="4"/>
      <c r="U94" s="4"/>
      <c r="X94" s="4"/>
      <c r="Y94" s="4"/>
      <c r="Z94" s="4"/>
      <c r="AA94" s="4"/>
    </row>
    <row r="95" spans="1:27" hidden="1" outlineLevel="1" x14ac:dyDescent="0.25">
      <c r="A95" s="8">
        <f t="shared" si="4"/>
        <v>60</v>
      </c>
      <c r="B95" s="4"/>
      <c r="C95" s="4"/>
      <c r="D95" s="4">
        <v>30.6</v>
      </c>
      <c r="E95" s="4">
        <v>49.835336545877503</v>
      </c>
      <c r="F95" s="4">
        <v>30.6</v>
      </c>
      <c r="G95" s="4">
        <v>39.835336545877503</v>
      </c>
      <c r="J95" s="4"/>
      <c r="K95" s="4"/>
      <c r="L95" s="4"/>
      <c r="M95" s="4"/>
      <c r="O95" s="4"/>
      <c r="P95" s="4"/>
      <c r="Q95" s="4"/>
      <c r="R95" s="4"/>
      <c r="S95" s="4"/>
      <c r="T95" s="4"/>
      <c r="U95" s="4"/>
      <c r="X95" s="4"/>
      <c r="Y95" s="4"/>
      <c r="Z95" s="4"/>
      <c r="AA95" s="4"/>
    </row>
    <row r="96" spans="1:27" hidden="1" outlineLevel="1" x14ac:dyDescent="0.25">
      <c r="A96" s="8">
        <f t="shared" si="4"/>
        <v>61</v>
      </c>
      <c r="B96" s="4"/>
      <c r="C96" s="4"/>
      <c r="D96" s="4">
        <v>31</v>
      </c>
      <c r="E96" s="4">
        <v>80.765071912039602</v>
      </c>
      <c r="F96" s="4">
        <v>31</v>
      </c>
      <c r="G96" s="4">
        <v>70.765071912039602</v>
      </c>
      <c r="J96" s="4"/>
      <c r="K96" s="4"/>
      <c r="L96" s="4"/>
      <c r="M96" s="4"/>
      <c r="O96" s="4"/>
      <c r="P96" s="4"/>
      <c r="Q96" s="4"/>
      <c r="R96" s="4"/>
      <c r="S96" s="4"/>
      <c r="T96" s="4"/>
      <c r="U96" s="4"/>
      <c r="X96" s="4"/>
      <c r="Y96" s="4"/>
      <c r="Z96" s="4"/>
      <c r="AA96" s="4"/>
    </row>
    <row r="97" spans="1:32" hidden="1" outlineLevel="1" x14ac:dyDescent="0.25">
      <c r="A97" s="8">
        <f t="shared" si="4"/>
        <v>62</v>
      </c>
      <c r="B97" s="4"/>
      <c r="C97" s="4"/>
      <c r="D97" s="4">
        <v>31.9</v>
      </c>
      <c r="E97" s="4">
        <v>82.886569632202793</v>
      </c>
      <c r="F97" s="4">
        <v>31.9</v>
      </c>
      <c r="G97" s="4">
        <v>72.886569632202793</v>
      </c>
      <c r="J97" s="4"/>
      <c r="K97" s="4"/>
      <c r="L97" s="4"/>
      <c r="M97" s="4"/>
      <c r="O97" s="4"/>
      <c r="P97" s="4"/>
      <c r="Q97" s="4"/>
      <c r="R97" s="4"/>
      <c r="S97" s="4"/>
      <c r="T97" s="4"/>
      <c r="U97" s="4"/>
      <c r="X97" s="4"/>
      <c r="Y97" s="4"/>
      <c r="Z97" s="4"/>
      <c r="AA97" s="4"/>
    </row>
    <row r="98" spans="1:32" hidden="1" outlineLevel="1" x14ac:dyDescent="0.25">
      <c r="A98" s="8">
        <f t="shared" si="4"/>
        <v>63</v>
      </c>
      <c r="B98" s="4"/>
      <c r="C98" s="4"/>
      <c r="D98" s="4">
        <v>32</v>
      </c>
      <c r="E98" s="4">
        <v>97.693709007669398</v>
      </c>
      <c r="F98" s="4">
        <v>32</v>
      </c>
      <c r="G98" s="4">
        <v>87.693709007669398</v>
      </c>
      <c r="J98" s="4"/>
      <c r="K98" s="4"/>
      <c r="L98" s="4"/>
      <c r="M98" s="4"/>
      <c r="O98" s="4"/>
      <c r="P98" s="4"/>
      <c r="Q98" s="4"/>
      <c r="R98" s="4"/>
      <c r="S98" s="4"/>
      <c r="T98" s="4"/>
      <c r="U98" s="4"/>
      <c r="X98" s="4"/>
      <c r="Y98" s="4"/>
      <c r="Z98" s="4"/>
      <c r="AA98" s="4"/>
    </row>
    <row r="99" spans="1:32" hidden="1" outlineLevel="1" x14ac:dyDescent="0.25">
      <c r="A99" s="8">
        <f t="shared" si="4"/>
        <v>64</v>
      </c>
      <c r="B99" s="4"/>
      <c r="C99" s="4"/>
      <c r="D99" s="4"/>
      <c r="E99" s="4"/>
      <c r="F99" s="4"/>
      <c r="G99" s="4"/>
      <c r="J99" s="4"/>
      <c r="K99" s="4"/>
      <c r="L99" s="4"/>
      <c r="M99" s="4"/>
      <c r="O99" s="4"/>
      <c r="P99" s="4"/>
      <c r="Q99" s="4"/>
      <c r="R99" s="4"/>
      <c r="S99" s="4"/>
      <c r="T99" s="4"/>
      <c r="U99" s="4"/>
      <c r="X99" s="4"/>
      <c r="Y99" s="4"/>
      <c r="Z99" s="4"/>
      <c r="AA99" s="4"/>
    </row>
    <row r="100" spans="1:32" hidden="1" outlineLevel="1" x14ac:dyDescent="0.25">
      <c r="A100" s="14">
        <f t="shared" si="4"/>
        <v>65</v>
      </c>
      <c r="B100" s="4"/>
      <c r="C100" s="4"/>
      <c r="D100" s="4"/>
      <c r="E100" s="4"/>
      <c r="F100" s="4"/>
      <c r="G100" s="4"/>
      <c r="J100" s="4"/>
      <c r="K100" s="4"/>
      <c r="L100" s="4"/>
      <c r="M100" s="4"/>
      <c r="O100" s="4"/>
      <c r="P100" s="4"/>
      <c r="Q100" s="4"/>
      <c r="R100" s="4"/>
      <c r="S100" s="4"/>
      <c r="T100" s="4"/>
      <c r="U100" s="4"/>
      <c r="X100" s="4"/>
      <c r="Y100" s="4"/>
      <c r="Z100" s="4"/>
      <c r="AA100" s="4"/>
    </row>
    <row r="101" spans="1:32" hidden="1" collapsed="1" x14ac:dyDescent="0.25">
      <c r="A101" s="14">
        <f t="shared" si="4"/>
        <v>66</v>
      </c>
      <c r="B101" s="13"/>
      <c r="C101" s="13"/>
      <c r="D101" s="13"/>
      <c r="E101" s="13"/>
      <c r="F101" s="13"/>
      <c r="G101" s="13"/>
      <c r="J101" s="13"/>
      <c r="K101" s="13"/>
      <c r="L101" s="13"/>
      <c r="M101" s="13"/>
      <c r="O101" s="13"/>
      <c r="P101" s="13"/>
      <c r="Q101" s="13"/>
      <c r="R101" s="13"/>
      <c r="S101" s="13"/>
      <c r="T101" s="13"/>
      <c r="U101" s="13"/>
      <c r="X101" s="13"/>
      <c r="Y101" s="13"/>
      <c r="Z101" s="13"/>
      <c r="AA101" s="13"/>
      <c r="AB101" s="13"/>
      <c r="AC101" s="13"/>
      <c r="AD101" s="13"/>
      <c r="AE101" s="13"/>
      <c r="AF101" s="13"/>
    </row>
    <row r="102" spans="1:32" hidden="1" x14ac:dyDescent="0.25">
      <c r="A102" s="15">
        <f t="shared" ref="A102:A165" si="5">A101+1</f>
        <v>67</v>
      </c>
    </row>
    <row r="103" spans="1:32" x14ac:dyDescent="0.25">
      <c r="A103" s="15">
        <f t="shared" si="5"/>
        <v>68</v>
      </c>
    </row>
    <row r="104" spans="1:32" x14ac:dyDescent="0.25">
      <c r="A104" s="15">
        <f t="shared" si="5"/>
        <v>69</v>
      </c>
    </row>
    <row r="105" spans="1:32" x14ac:dyDescent="0.25">
      <c r="A105" s="15">
        <f t="shared" si="5"/>
        <v>70</v>
      </c>
    </row>
    <row r="106" spans="1:32" x14ac:dyDescent="0.25">
      <c r="A106" s="15">
        <f t="shared" si="5"/>
        <v>71</v>
      </c>
    </row>
    <row r="107" spans="1:32" x14ac:dyDescent="0.25">
      <c r="A107" s="15">
        <f t="shared" si="5"/>
        <v>72</v>
      </c>
    </row>
    <row r="108" spans="1:32" x14ac:dyDescent="0.25">
      <c r="A108" s="15">
        <f t="shared" si="5"/>
        <v>73</v>
      </c>
    </row>
    <row r="109" spans="1:32" x14ac:dyDescent="0.25">
      <c r="A109" s="15">
        <f t="shared" si="5"/>
        <v>74</v>
      </c>
    </row>
    <row r="110" spans="1:32" x14ac:dyDescent="0.25">
      <c r="A110" s="15">
        <f t="shared" si="5"/>
        <v>75</v>
      </c>
    </row>
    <row r="111" spans="1:32" x14ac:dyDescent="0.25">
      <c r="A111" s="15">
        <f t="shared" si="5"/>
        <v>76</v>
      </c>
    </row>
    <row r="112" spans="1:32" x14ac:dyDescent="0.25">
      <c r="A112" s="15">
        <f t="shared" si="5"/>
        <v>77</v>
      </c>
    </row>
    <row r="113" spans="1:1" x14ac:dyDescent="0.25">
      <c r="A113" s="15">
        <f t="shared" si="5"/>
        <v>78</v>
      </c>
    </row>
    <row r="114" spans="1:1" x14ac:dyDescent="0.25">
      <c r="A114" s="15">
        <f t="shared" si="5"/>
        <v>79</v>
      </c>
    </row>
    <row r="115" spans="1:1" x14ac:dyDescent="0.25">
      <c r="A115" s="15">
        <f t="shared" si="5"/>
        <v>80</v>
      </c>
    </row>
    <row r="116" spans="1:1" x14ac:dyDescent="0.25">
      <c r="A116" s="15">
        <f t="shared" si="5"/>
        <v>81</v>
      </c>
    </row>
    <row r="117" spans="1:1" x14ac:dyDescent="0.25">
      <c r="A117" s="15">
        <f t="shared" si="5"/>
        <v>82</v>
      </c>
    </row>
    <row r="118" spans="1:1" x14ac:dyDescent="0.25">
      <c r="A118" s="15">
        <f t="shared" si="5"/>
        <v>83</v>
      </c>
    </row>
    <row r="119" spans="1:1" x14ac:dyDescent="0.25">
      <c r="A119" s="15">
        <f t="shared" si="5"/>
        <v>84</v>
      </c>
    </row>
    <row r="120" spans="1:1" x14ac:dyDescent="0.25">
      <c r="A120" s="15">
        <f t="shared" si="5"/>
        <v>85</v>
      </c>
    </row>
    <row r="121" spans="1:1" x14ac:dyDescent="0.25">
      <c r="A121" s="15">
        <f t="shared" si="5"/>
        <v>86</v>
      </c>
    </row>
    <row r="122" spans="1:1" x14ac:dyDescent="0.25">
      <c r="A122" s="15">
        <f t="shared" si="5"/>
        <v>87</v>
      </c>
    </row>
    <row r="123" spans="1:1" x14ac:dyDescent="0.25">
      <c r="A123" s="15">
        <f t="shared" si="5"/>
        <v>88</v>
      </c>
    </row>
    <row r="124" spans="1:1" x14ac:dyDescent="0.25">
      <c r="A124" s="15">
        <f t="shared" si="5"/>
        <v>89</v>
      </c>
    </row>
    <row r="125" spans="1:1" x14ac:dyDescent="0.25">
      <c r="A125" s="15">
        <f t="shared" si="5"/>
        <v>90</v>
      </c>
    </row>
    <row r="126" spans="1:1" x14ac:dyDescent="0.25">
      <c r="A126" s="15">
        <f t="shared" si="5"/>
        <v>91</v>
      </c>
    </row>
    <row r="127" spans="1:1" x14ac:dyDescent="0.25">
      <c r="A127" s="15">
        <f t="shared" si="5"/>
        <v>92</v>
      </c>
    </row>
    <row r="128" spans="1:1" x14ac:dyDescent="0.25">
      <c r="A128" s="15">
        <f t="shared" si="5"/>
        <v>93</v>
      </c>
    </row>
    <row r="129" spans="1:1" x14ac:dyDescent="0.25">
      <c r="A129" s="15">
        <f t="shared" si="5"/>
        <v>94</v>
      </c>
    </row>
    <row r="130" spans="1:1" x14ac:dyDescent="0.25">
      <c r="A130" s="15">
        <f t="shared" si="5"/>
        <v>95</v>
      </c>
    </row>
    <row r="131" spans="1:1" x14ac:dyDescent="0.25">
      <c r="A131" s="15">
        <f t="shared" si="5"/>
        <v>96</v>
      </c>
    </row>
    <row r="132" spans="1:1" x14ac:dyDescent="0.25">
      <c r="A132" s="15">
        <f t="shared" si="5"/>
        <v>97</v>
      </c>
    </row>
    <row r="133" spans="1:1" x14ac:dyDescent="0.25">
      <c r="A133" s="15">
        <f t="shared" si="5"/>
        <v>98</v>
      </c>
    </row>
    <row r="134" spans="1:1" x14ac:dyDescent="0.25">
      <c r="A134" s="15">
        <f t="shared" si="5"/>
        <v>99</v>
      </c>
    </row>
    <row r="135" spans="1:1" x14ac:dyDescent="0.25">
      <c r="A135" s="15">
        <f t="shared" si="5"/>
        <v>100</v>
      </c>
    </row>
    <row r="136" spans="1:1" x14ac:dyDescent="0.25">
      <c r="A136" s="15">
        <f t="shared" si="5"/>
        <v>101</v>
      </c>
    </row>
    <row r="137" spans="1:1" x14ac:dyDescent="0.25">
      <c r="A137" s="15">
        <f t="shared" si="5"/>
        <v>102</v>
      </c>
    </row>
    <row r="138" spans="1:1" x14ac:dyDescent="0.25">
      <c r="A138" s="15">
        <f t="shared" si="5"/>
        <v>103</v>
      </c>
    </row>
    <row r="139" spans="1:1" x14ac:dyDescent="0.25">
      <c r="A139" s="15">
        <f t="shared" si="5"/>
        <v>104</v>
      </c>
    </row>
    <row r="140" spans="1:1" x14ac:dyDescent="0.25">
      <c r="A140" s="15">
        <f t="shared" si="5"/>
        <v>105</v>
      </c>
    </row>
    <row r="141" spans="1:1" x14ac:dyDescent="0.25">
      <c r="A141" s="15">
        <f t="shared" si="5"/>
        <v>106</v>
      </c>
    </row>
    <row r="142" spans="1:1" x14ac:dyDescent="0.25">
      <c r="A142" s="15">
        <f t="shared" si="5"/>
        <v>107</v>
      </c>
    </row>
    <row r="143" spans="1:1" x14ac:dyDescent="0.25">
      <c r="A143" s="15">
        <f t="shared" si="5"/>
        <v>108</v>
      </c>
    </row>
    <row r="144" spans="1:1" x14ac:dyDescent="0.25">
      <c r="A144" s="15">
        <f t="shared" si="5"/>
        <v>109</v>
      </c>
    </row>
    <row r="145" spans="1:1" x14ac:dyDescent="0.25">
      <c r="A145" s="15">
        <f t="shared" si="5"/>
        <v>110</v>
      </c>
    </row>
    <row r="146" spans="1:1" x14ac:dyDescent="0.25">
      <c r="A146" s="15">
        <f t="shared" si="5"/>
        <v>111</v>
      </c>
    </row>
    <row r="147" spans="1:1" x14ac:dyDescent="0.25">
      <c r="A147" s="15">
        <f t="shared" si="5"/>
        <v>112</v>
      </c>
    </row>
    <row r="148" spans="1:1" x14ac:dyDescent="0.25">
      <c r="A148" s="15">
        <f t="shared" si="5"/>
        <v>113</v>
      </c>
    </row>
    <row r="149" spans="1:1" x14ac:dyDescent="0.25">
      <c r="A149" s="15">
        <f t="shared" si="5"/>
        <v>114</v>
      </c>
    </row>
    <row r="150" spans="1:1" x14ac:dyDescent="0.25">
      <c r="A150" s="15">
        <f t="shared" si="5"/>
        <v>115</v>
      </c>
    </row>
    <row r="151" spans="1:1" x14ac:dyDescent="0.25">
      <c r="A151" s="15">
        <f t="shared" si="5"/>
        <v>116</v>
      </c>
    </row>
    <row r="152" spans="1:1" x14ac:dyDescent="0.25">
      <c r="A152" s="15">
        <f t="shared" si="5"/>
        <v>117</v>
      </c>
    </row>
    <row r="153" spans="1:1" x14ac:dyDescent="0.25">
      <c r="A153" s="15">
        <f t="shared" si="5"/>
        <v>118</v>
      </c>
    </row>
    <row r="154" spans="1:1" x14ac:dyDescent="0.25">
      <c r="A154" s="15">
        <f t="shared" si="5"/>
        <v>119</v>
      </c>
    </row>
    <row r="155" spans="1:1" x14ac:dyDescent="0.25">
      <c r="A155" s="15">
        <f t="shared" si="5"/>
        <v>120</v>
      </c>
    </row>
    <row r="156" spans="1:1" x14ac:dyDescent="0.25">
      <c r="A156" s="15">
        <f t="shared" si="5"/>
        <v>121</v>
      </c>
    </row>
    <row r="157" spans="1:1" x14ac:dyDescent="0.25">
      <c r="A157" s="15">
        <f t="shared" si="5"/>
        <v>122</v>
      </c>
    </row>
    <row r="158" spans="1:1" x14ac:dyDescent="0.25">
      <c r="A158" s="15">
        <f t="shared" si="5"/>
        <v>123</v>
      </c>
    </row>
    <row r="159" spans="1:1" x14ac:dyDescent="0.25">
      <c r="A159" s="15">
        <f t="shared" si="5"/>
        <v>124</v>
      </c>
    </row>
    <row r="160" spans="1:1" x14ac:dyDescent="0.25">
      <c r="A160" s="15">
        <f t="shared" si="5"/>
        <v>125</v>
      </c>
    </row>
    <row r="161" spans="1:1" x14ac:dyDescent="0.25">
      <c r="A161" s="15">
        <f t="shared" si="5"/>
        <v>126</v>
      </c>
    </row>
    <row r="162" spans="1:1" x14ac:dyDescent="0.25">
      <c r="A162" s="15">
        <f t="shared" si="5"/>
        <v>127</v>
      </c>
    </row>
    <row r="163" spans="1:1" x14ac:dyDescent="0.25">
      <c r="A163" s="15">
        <f t="shared" si="5"/>
        <v>128</v>
      </c>
    </row>
    <row r="164" spans="1:1" x14ac:dyDescent="0.25">
      <c r="A164" s="15">
        <f t="shared" si="5"/>
        <v>129</v>
      </c>
    </row>
    <row r="165" spans="1:1" x14ac:dyDescent="0.25">
      <c r="A165" s="15">
        <f t="shared" si="5"/>
        <v>130</v>
      </c>
    </row>
    <row r="166" spans="1:1" x14ac:dyDescent="0.25">
      <c r="A166" s="15">
        <f t="shared" ref="A166:A229" si="6">A165+1</f>
        <v>131</v>
      </c>
    </row>
    <row r="167" spans="1:1" x14ac:dyDescent="0.25">
      <c r="A167" s="15">
        <f t="shared" si="6"/>
        <v>132</v>
      </c>
    </row>
    <row r="168" spans="1:1" x14ac:dyDescent="0.25">
      <c r="A168" s="15">
        <f t="shared" si="6"/>
        <v>133</v>
      </c>
    </row>
    <row r="169" spans="1:1" x14ac:dyDescent="0.25">
      <c r="A169" s="15">
        <f t="shared" si="6"/>
        <v>134</v>
      </c>
    </row>
    <row r="170" spans="1:1" x14ac:dyDescent="0.25">
      <c r="A170" s="15">
        <f t="shared" si="6"/>
        <v>135</v>
      </c>
    </row>
    <row r="171" spans="1:1" x14ac:dyDescent="0.25">
      <c r="A171" s="15">
        <f t="shared" si="6"/>
        <v>136</v>
      </c>
    </row>
    <row r="172" spans="1:1" x14ac:dyDescent="0.25">
      <c r="A172" s="15">
        <f t="shared" si="6"/>
        <v>137</v>
      </c>
    </row>
    <row r="173" spans="1:1" x14ac:dyDescent="0.25">
      <c r="A173" s="15">
        <f t="shared" si="6"/>
        <v>138</v>
      </c>
    </row>
    <row r="174" spans="1:1" x14ac:dyDescent="0.25">
      <c r="A174" s="15">
        <f t="shared" si="6"/>
        <v>139</v>
      </c>
    </row>
    <row r="175" spans="1:1" x14ac:dyDescent="0.25">
      <c r="A175" s="15">
        <f t="shared" si="6"/>
        <v>140</v>
      </c>
    </row>
    <row r="176" spans="1:1" x14ac:dyDescent="0.25">
      <c r="A176" s="15">
        <f t="shared" si="6"/>
        <v>141</v>
      </c>
    </row>
    <row r="177" spans="1:1" x14ac:dyDescent="0.25">
      <c r="A177" s="15">
        <f t="shared" si="6"/>
        <v>142</v>
      </c>
    </row>
    <row r="178" spans="1:1" x14ac:dyDescent="0.25">
      <c r="A178" s="15">
        <f t="shared" si="6"/>
        <v>143</v>
      </c>
    </row>
    <row r="179" spans="1:1" x14ac:dyDescent="0.25">
      <c r="A179" s="15">
        <f t="shared" si="6"/>
        <v>144</v>
      </c>
    </row>
    <row r="180" spans="1:1" x14ac:dyDescent="0.25">
      <c r="A180" s="15">
        <f t="shared" si="6"/>
        <v>145</v>
      </c>
    </row>
    <row r="181" spans="1:1" x14ac:dyDescent="0.25">
      <c r="A181" s="15">
        <f t="shared" si="6"/>
        <v>146</v>
      </c>
    </row>
    <row r="182" spans="1:1" x14ac:dyDescent="0.25">
      <c r="A182" s="15">
        <f t="shared" si="6"/>
        <v>147</v>
      </c>
    </row>
    <row r="183" spans="1:1" x14ac:dyDescent="0.25">
      <c r="A183" s="15">
        <f t="shared" si="6"/>
        <v>148</v>
      </c>
    </row>
    <row r="184" spans="1:1" x14ac:dyDescent="0.25">
      <c r="A184" s="15">
        <f t="shared" si="6"/>
        <v>149</v>
      </c>
    </row>
    <row r="185" spans="1:1" x14ac:dyDescent="0.25">
      <c r="A185" s="15">
        <f t="shared" si="6"/>
        <v>150</v>
      </c>
    </row>
    <row r="186" spans="1:1" x14ac:dyDescent="0.25">
      <c r="A186" s="15">
        <f t="shared" si="6"/>
        <v>151</v>
      </c>
    </row>
    <row r="187" spans="1:1" x14ac:dyDescent="0.25">
      <c r="A187" s="15">
        <f t="shared" si="6"/>
        <v>152</v>
      </c>
    </row>
    <row r="188" spans="1:1" x14ac:dyDescent="0.25">
      <c r="A188" s="15">
        <f t="shared" si="6"/>
        <v>153</v>
      </c>
    </row>
    <row r="189" spans="1:1" x14ac:dyDescent="0.25">
      <c r="A189" s="15">
        <f t="shared" si="6"/>
        <v>154</v>
      </c>
    </row>
    <row r="190" spans="1:1" x14ac:dyDescent="0.25">
      <c r="A190" s="15">
        <f t="shared" si="6"/>
        <v>155</v>
      </c>
    </row>
    <row r="191" spans="1:1" x14ac:dyDescent="0.25">
      <c r="A191" s="15">
        <f t="shared" si="6"/>
        <v>156</v>
      </c>
    </row>
    <row r="192" spans="1:1" x14ac:dyDescent="0.25">
      <c r="A192" s="15">
        <f t="shared" si="6"/>
        <v>157</v>
      </c>
    </row>
    <row r="193" spans="1:1" x14ac:dyDescent="0.25">
      <c r="A193" s="15">
        <f t="shared" si="6"/>
        <v>158</v>
      </c>
    </row>
    <row r="194" spans="1:1" x14ac:dyDescent="0.25">
      <c r="A194" s="15">
        <f t="shared" si="6"/>
        <v>159</v>
      </c>
    </row>
    <row r="195" spans="1:1" x14ac:dyDescent="0.25">
      <c r="A195" s="15">
        <f t="shared" si="6"/>
        <v>160</v>
      </c>
    </row>
    <row r="196" spans="1:1" x14ac:dyDescent="0.25">
      <c r="A196" s="15">
        <f t="shared" si="6"/>
        <v>161</v>
      </c>
    </row>
    <row r="197" spans="1:1" x14ac:dyDescent="0.25">
      <c r="A197" s="15">
        <f t="shared" si="6"/>
        <v>162</v>
      </c>
    </row>
    <row r="198" spans="1:1" x14ac:dyDescent="0.25">
      <c r="A198" s="15">
        <f t="shared" si="6"/>
        <v>163</v>
      </c>
    </row>
    <row r="199" spans="1:1" x14ac:dyDescent="0.25">
      <c r="A199" s="15">
        <f t="shared" si="6"/>
        <v>164</v>
      </c>
    </row>
    <row r="200" spans="1:1" x14ac:dyDescent="0.25">
      <c r="A200" s="15">
        <f t="shared" si="6"/>
        <v>165</v>
      </c>
    </row>
    <row r="201" spans="1:1" x14ac:dyDescent="0.25">
      <c r="A201" s="15">
        <f t="shared" si="6"/>
        <v>166</v>
      </c>
    </row>
    <row r="202" spans="1:1" x14ac:dyDescent="0.25">
      <c r="A202" s="15">
        <f t="shared" si="6"/>
        <v>167</v>
      </c>
    </row>
    <row r="203" spans="1:1" x14ac:dyDescent="0.25">
      <c r="A203" s="15">
        <f t="shared" si="6"/>
        <v>168</v>
      </c>
    </row>
    <row r="204" spans="1:1" x14ac:dyDescent="0.25">
      <c r="A204" s="15">
        <f t="shared" si="6"/>
        <v>169</v>
      </c>
    </row>
    <row r="205" spans="1:1" x14ac:dyDescent="0.25">
      <c r="A205" s="15">
        <f t="shared" si="6"/>
        <v>170</v>
      </c>
    </row>
    <row r="206" spans="1:1" x14ac:dyDescent="0.25">
      <c r="A206" s="15">
        <f t="shared" si="6"/>
        <v>171</v>
      </c>
    </row>
    <row r="207" spans="1:1" x14ac:dyDescent="0.25">
      <c r="A207" s="15">
        <f t="shared" si="6"/>
        <v>172</v>
      </c>
    </row>
    <row r="208" spans="1:1" x14ac:dyDescent="0.25">
      <c r="A208" s="15">
        <f t="shared" si="6"/>
        <v>173</v>
      </c>
    </row>
    <row r="209" spans="1:1" x14ac:dyDescent="0.25">
      <c r="A209" s="15">
        <f t="shared" si="6"/>
        <v>174</v>
      </c>
    </row>
    <row r="210" spans="1:1" x14ac:dyDescent="0.25">
      <c r="A210" s="15">
        <f t="shared" si="6"/>
        <v>175</v>
      </c>
    </row>
    <row r="211" spans="1:1" x14ac:dyDescent="0.25">
      <c r="A211" s="15">
        <f t="shared" si="6"/>
        <v>176</v>
      </c>
    </row>
    <row r="212" spans="1:1" x14ac:dyDescent="0.25">
      <c r="A212" s="15">
        <f t="shared" si="6"/>
        <v>177</v>
      </c>
    </row>
    <row r="213" spans="1:1" x14ac:dyDescent="0.25">
      <c r="A213" s="15">
        <f t="shared" si="6"/>
        <v>178</v>
      </c>
    </row>
    <row r="214" spans="1:1" x14ac:dyDescent="0.25">
      <c r="A214" s="15">
        <f t="shared" si="6"/>
        <v>179</v>
      </c>
    </row>
    <row r="215" spans="1:1" x14ac:dyDescent="0.25">
      <c r="A215" s="15">
        <f t="shared" si="6"/>
        <v>180</v>
      </c>
    </row>
    <row r="216" spans="1:1" x14ac:dyDescent="0.25">
      <c r="A216" s="15">
        <f t="shared" si="6"/>
        <v>181</v>
      </c>
    </row>
    <row r="217" spans="1:1" x14ac:dyDescent="0.25">
      <c r="A217" s="15">
        <f t="shared" si="6"/>
        <v>182</v>
      </c>
    </row>
    <row r="218" spans="1:1" x14ac:dyDescent="0.25">
      <c r="A218" s="15">
        <f t="shared" si="6"/>
        <v>183</v>
      </c>
    </row>
    <row r="219" spans="1:1" x14ac:dyDescent="0.25">
      <c r="A219" s="15">
        <f t="shared" si="6"/>
        <v>184</v>
      </c>
    </row>
    <row r="220" spans="1:1" x14ac:dyDescent="0.25">
      <c r="A220" s="15">
        <f t="shared" si="6"/>
        <v>185</v>
      </c>
    </row>
    <row r="221" spans="1:1" x14ac:dyDescent="0.25">
      <c r="A221" s="15">
        <f t="shared" si="6"/>
        <v>186</v>
      </c>
    </row>
    <row r="222" spans="1:1" x14ac:dyDescent="0.25">
      <c r="A222" s="15">
        <f t="shared" si="6"/>
        <v>187</v>
      </c>
    </row>
    <row r="223" spans="1:1" x14ac:dyDescent="0.25">
      <c r="A223" s="15">
        <f t="shared" si="6"/>
        <v>188</v>
      </c>
    </row>
    <row r="224" spans="1:1" x14ac:dyDescent="0.25">
      <c r="A224" s="15">
        <f t="shared" si="6"/>
        <v>189</v>
      </c>
    </row>
    <row r="225" spans="1:1" x14ac:dyDescent="0.25">
      <c r="A225" s="15">
        <f t="shared" si="6"/>
        <v>190</v>
      </c>
    </row>
    <row r="226" spans="1:1" x14ac:dyDescent="0.25">
      <c r="A226" s="15">
        <f t="shared" si="6"/>
        <v>191</v>
      </c>
    </row>
    <row r="227" spans="1:1" x14ac:dyDescent="0.25">
      <c r="A227" s="15">
        <f t="shared" si="6"/>
        <v>192</v>
      </c>
    </row>
    <row r="228" spans="1:1" x14ac:dyDescent="0.25">
      <c r="A228" s="15">
        <f t="shared" si="6"/>
        <v>193</v>
      </c>
    </row>
    <row r="229" spans="1:1" x14ac:dyDescent="0.25">
      <c r="A229" s="15">
        <f t="shared" si="6"/>
        <v>194</v>
      </c>
    </row>
    <row r="230" spans="1:1" x14ac:dyDescent="0.25">
      <c r="A230" s="15">
        <f t="shared" ref="A230:A293" si="7">A229+1</f>
        <v>195</v>
      </c>
    </row>
    <row r="231" spans="1:1" x14ac:dyDescent="0.25">
      <c r="A231" s="15">
        <f t="shared" si="7"/>
        <v>196</v>
      </c>
    </row>
    <row r="232" spans="1:1" x14ac:dyDescent="0.25">
      <c r="A232" s="15">
        <f t="shared" si="7"/>
        <v>197</v>
      </c>
    </row>
    <row r="233" spans="1:1" x14ac:dyDescent="0.25">
      <c r="A233" s="15">
        <f t="shared" si="7"/>
        <v>198</v>
      </c>
    </row>
    <row r="234" spans="1:1" x14ac:dyDescent="0.25">
      <c r="A234" s="15">
        <f t="shared" si="7"/>
        <v>199</v>
      </c>
    </row>
    <row r="235" spans="1:1" x14ac:dyDescent="0.25">
      <c r="A235" s="15">
        <f t="shared" si="7"/>
        <v>200</v>
      </c>
    </row>
    <row r="236" spans="1:1" x14ac:dyDescent="0.25">
      <c r="A236" s="15">
        <f t="shared" si="7"/>
        <v>201</v>
      </c>
    </row>
    <row r="237" spans="1:1" x14ac:dyDescent="0.25">
      <c r="A237" s="15">
        <f t="shared" si="7"/>
        <v>202</v>
      </c>
    </row>
    <row r="238" spans="1:1" x14ac:dyDescent="0.25">
      <c r="A238" s="15">
        <f t="shared" si="7"/>
        <v>203</v>
      </c>
    </row>
    <row r="239" spans="1:1" x14ac:dyDescent="0.25">
      <c r="A239" s="15">
        <f t="shared" si="7"/>
        <v>204</v>
      </c>
    </row>
    <row r="240" spans="1:1" x14ac:dyDescent="0.25">
      <c r="A240" s="15">
        <f t="shared" si="7"/>
        <v>205</v>
      </c>
    </row>
    <row r="241" spans="1:1" x14ac:dyDescent="0.25">
      <c r="A241" s="15">
        <f t="shared" si="7"/>
        <v>206</v>
      </c>
    </row>
    <row r="242" spans="1:1" x14ac:dyDescent="0.25">
      <c r="A242" s="15">
        <f t="shared" si="7"/>
        <v>207</v>
      </c>
    </row>
    <row r="243" spans="1:1" x14ac:dyDescent="0.25">
      <c r="A243" s="15">
        <f t="shared" si="7"/>
        <v>208</v>
      </c>
    </row>
    <row r="244" spans="1:1" x14ac:dyDescent="0.25">
      <c r="A244" s="15">
        <f t="shared" si="7"/>
        <v>209</v>
      </c>
    </row>
    <row r="245" spans="1:1" x14ac:dyDescent="0.25">
      <c r="A245" s="15">
        <f t="shared" si="7"/>
        <v>210</v>
      </c>
    </row>
    <row r="246" spans="1:1" x14ac:dyDescent="0.25">
      <c r="A246" s="15">
        <f t="shared" si="7"/>
        <v>211</v>
      </c>
    </row>
    <row r="247" spans="1:1" x14ac:dyDescent="0.25">
      <c r="A247" s="15">
        <f t="shared" si="7"/>
        <v>212</v>
      </c>
    </row>
    <row r="248" spans="1:1" x14ac:dyDescent="0.25">
      <c r="A248" s="15">
        <f t="shared" si="7"/>
        <v>213</v>
      </c>
    </row>
    <row r="249" spans="1:1" x14ac:dyDescent="0.25">
      <c r="A249" s="15">
        <f t="shared" si="7"/>
        <v>214</v>
      </c>
    </row>
    <row r="250" spans="1:1" x14ac:dyDescent="0.25">
      <c r="A250" s="15">
        <f t="shared" si="7"/>
        <v>215</v>
      </c>
    </row>
    <row r="251" spans="1:1" x14ac:dyDescent="0.25">
      <c r="A251" s="15">
        <f t="shared" si="7"/>
        <v>216</v>
      </c>
    </row>
    <row r="252" spans="1:1" x14ac:dyDescent="0.25">
      <c r="A252" s="15">
        <f t="shared" si="7"/>
        <v>217</v>
      </c>
    </row>
    <row r="253" spans="1:1" x14ac:dyDescent="0.25">
      <c r="A253" s="15">
        <f t="shared" si="7"/>
        <v>218</v>
      </c>
    </row>
    <row r="254" spans="1:1" x14ac:dyDescent="0.25">
      <c r="A254" s="15">
        <f t="shared" si="7"/>
        <v>219</v>
      </c>
    </row>
    <row r="255" spans="1:1" x14ac:dyDescent="0.25">
      <c r="A255" s="15">
        <f t="shared" si="7"/>
        <v>220</v>
      </c>
    </row>
    <row r="256" spans="1:1" x14ac:dyDescent="0.25">
      <c r="A256" s="15">
        <f t="shared" si="7"/>
        <v>221</v>
      </c>
    </row>
    <row r="257" spans="1:1" x14ac:dyDescent="0.25">
      <c r="A257" s="15">
        <f t="shared" si="7"/>
        <v>222</v>
      </c>
    </row>
    <row r="258" spans="1:1" x14ac:dyDescent="0.25">
      <c r="A258" s="15">
        <f t="shared" si="7"/>
        <v>223</v>
      </c>
    </row>
    <row r="259" spans="1:1" x14ac:dyDescent="0.25">
      <c r="A259" s="15">
        <f t="shared" si="7"/>
        <v>224</v>
      </c>
    </row>
    <row r="260" spans="1:1" x14ac:dyDescent="0.25">
      <c r="A260" s="15">
        <f t="shared" si="7"/>
        <v>225</v>
      </c>
    </row>
    <row r="261" spans="1:1" x14ac:dyDescent="0.25">
      <c r="A261" s="15">
        <f t="shared" si="7"/>
        <v>226</v>
      </c>
    </row>
    <row r="262" spans="1:1" x14ac:dyDescent="0.25">
      <c r="A262" s="15">
        <f t="shared" si="7"/>
        <v>227</v>
      </c>
    </row>
    <row r="263" spans="1:1" x14ac:dyDescent="0.25">
      <c r="A263" s="15">
        <f t="shared" si="7"/>
        <v>228</v>
      </c>
    </row>
    <row r="264" spans="1:1" x14ac:dyDescent="0.25">
      <c r="A264" s="15">
        <f t="shared" si="7"/>
        <v>229</v>
      </c>
    </row>
    <row r="265" spans="1:1" x14ac:dyDescent="0.25">
      <c r="A265" s="15">
        <f t="shared" si="7"/>
        <v>230</v>
      </c>
    </row>
    <row r="266" spans="1:1" x14ac:dyDescent="0.25">
      <c r="A266" s="15">
        <f t="shared" si="7"/>
        <v>231</v>
      </c>
    </row>
    <row r="267" spans="1:1" x14ac:dyDescent="0.25">
      <c r="A267" s="15">
        <f t="shared" si="7"/>
        <v>232</v>
      </c>
    </row>
    <row r="268" spans="1:1" x14ac:dyDescent="0.25">
      <c r="A268" s="15">
        <f t="shared" si="7"/>
        <v>233</v>
      </c>
    </row>
    <row r="269" spans="1:1" x14ac:dyDescent="0.25">
      <c r="A269" s="15">
        <f t="shared" si="7"/>
        <v>234</v>
      </c>
    </row>
    <row r="270" spans="1:1" x14ac:dyDescent="0.25">
      <c r="A270" s="15">
        <f t="shared" si="7"/>
        <v>235</v>
      </c>
    </row>
    <row r="271" spans="1:1" x14ac:dyDescent="0.25">
      <c r="A271" s="15">
        <f t="shared" si="7"/>
        <v>236</v>
      </c>
    </row>
    <row r="272" spans="1:1" x14ac:dyDescent="0.25">
      <c r="A272" s="15">
        <f t="shared" si="7"/>
        <v>237</v>
      </c>
    </row>
    <row r="273" spans="1:1" x14ac:dyDescent="0.25">
      <c r="A273" s="15">
        <f t="shared" si="7"/>
        <v>238</v>
      </c>
    </row>
    <row r="274" spans="1:1" x14ac:dyDescent="0.25">
      <c r="A274" s="15">
        <f t="shared" si="7"/>
        <v>239</v>
      </c>
    </row>
    <row r="275" spans="1:1" x14ac:dyDescent="0.25">
      <c r="A275" s="15">
        <f t="shared" si="7"/>
        <v>240</v>
      </c>
    </row>
    <row r="276" spans="1:1" x14ac:dyDescent="0.25">
      <c r="A276" s="15">
        <f t="shared" si="7"/>
        <v>241</v>
      </c>
    </row>
    <row r="277" spans="1:1" x14ac:dyDescent="0.25">
      <c r="A277" s="15">
        <f t="shared" si="7"/>
        <v>242</v>
      </c>
    </row>
    <row r="278" spans="1:1" x14ac:dyDescent="0.25">
      <c r="A278" s="15">
        <f t="shared" si="7"/>
        <v>243</v>
      </c>
    </row>
    <row r="279" spans="1:1" x14ac:dyDescent="0.25">
      <c r="A279" s="15">
        <f t="shared" si="7"/>
        <v>244</v>
      </c>
    </row>
    <row r="280" spans="1:1" x14ac:dyDescent="0.25">
      <c r="A280" s="15">
        <f t="shared" si="7"/>
        <v>245</v>
      </c>
    </row>
    <row r="281" spans="1:1" x14ac:dyDescent="0.25">
      <c r="A281" s="15">
        <f t="shared" si="7"/>
        <v>246</v>
      </c>
    </row>
    <row r="282" spans="1:1" x14ac:dyDescent="0.25">
      <c r="A282" s="15">
        <f t="shared" si="7"/>
        <v>247</v>
      </c>
    </row>
    <row r="283" spans="1:1" x14ac:dyDescent="0.25">
      <c r="A283" s="15">
        <f t="shared" si="7"/>
        <v>248</v>
      </c>
    </row>
    <row r="284" spans="1:1" x14ac:dyDescent="0.25">
      <c r="A284" s="15">
        <f t="shared" si="7"/>
        <v>249</v>
      </c>
    </row>
    <row r="285" spans="1:1" x14ac:dyDescent="0.25">
      <c r="A285" s="15">
        <f t="shared" si="7"/>
        <v>250</v>
      </c>
    </row>
    <row r="286" spans="1:1" x14ac:dyDescent="0.25">
      <c r="A286" s="15">
        <f t="shared" si="7"/>
        <v>251</v>
      </c>
    </row>
    <row r="287" spans="1:1" x14ac:dyDescent="0.25">
      <c r="A287" s="15">
        <f t="shared" si="7"/>
        <v>252</v>
      </c>
    </row>
    <row r="288" spans="1:1" x14ac:dyDescent="0.25">
      <c r="A288" s="15">
        <f t="shared" si="7"/>
        <v>253</v>
      </c>
    </row>
    <row r="289" spans="1:1" x14ac:dyDescent="0.25">
      <c r="A289" s="15">
        <f t="shared" si="7"/>
        <v>254</v>
      </c>
    </row>
    <row r="290" spans="1:1" x14ac:dyDescent="0.25">
      <c r="A290" s="15">
        <f t="shared" si="7"/>
        <v>255</v>
      </c>
    </row>
    <row r="291" spans="1:1" x14ac:dyDescent="0.25">
      <c r="A291" s="15">
        <f t="shared" si="7"/>
        <v>256</v>
      </c>
    </row>
    <row r="292" spans="1:1" x14ac:dyDescent="0.25">
      <c r="A292" s="15">
        <f t="shared" si="7"/>
        <v>257</v>
      </c>
    </row>
    <row r="293" spans="1:1" x14ac:dyDescent="0.25">
      <c r="A293" s="15">
        <f t="shared" si="7"/>
        <v>258</v>
      </c>
    </row>
    <row r="294" spans="1:1" x14ac:dyDescent="0.25">
      <c r="A294" s="15">
        <f t="shared" ref="A294:A346" si="8">A293+1</f>
        <v>259</v>
      </c>
    </row>
    <row r="295" spans="1:1" x14ac:dyDescent="0.25">
      <c r="A295" s="15">
        <f t="shared" si="8"/>
        <v>260</v>
      </c>
    </row>
    <row r="296" spans="1:1" x14ac:dyDescent="0.25">
      <c r="A296" s="15">
        <f t="shared" si="8"/>
        <v>261</v>
      </c>
    </row>
    <row r="297" spans="1:1" x14ac:dyDescent="0.25">
      <c r="A297" s="15">
        <f t="shared" si="8"/>
        <v>262</v>
      </c>
    </row>
    <row r="298" spans="1:1" x14ac:dyDescent="0.25">
      <c r="A298" s="15">
        <f t="shared" si="8"/>
        <v>263</v>
      </c>
    </row>
    <row r="299" spans="1:1" x14ac:dyDescent="0.25">
      <c r="A299" s="15">
        <f t="shared" si="8"/>
        <v>264</v>
      </c>
    </row>
    <row r="300" spans="1:1" x14ac:dyDescent="0.25">
      <c r="A300" s="15">
        <f t="shared" si="8"/>
        <v>265</v>
      </c>
    </row>
    <row r="301" spans="1:1" x14ac:dyDescent="0.25">
      <c r="A301" s="15">
        <f t="shared" si="8"/>
        <v>266</v>
      </c>
    </row>
    <row r="302" spans="1:1" x14ac:dyDescent="0.25">
      <c r="A302" s="15">
        <f t="shared" si="8"/>
        <v>267</v>
      </c>
    </row>
    <row r="303" spans="1:1" x14ac:dyDescent="0.25">
      <c r="A303" s="15">
        <f t="shared" si="8"/>
        <v>268</v>
      </c>
    </row>
    <row r="304" spans="1:1" x14ac:dyDescent="0.25">
      <c r="A304" s="15">
        <f t="shared" si="8"/>
        <v>269</v>
      </c>
    </row>
    <row r="305" spans="1:1" x14ac:dyDescent="0.25">
      <c r="A305" s="15">
        <f t="shared" si="8"/>
        <v>270</v>
      </c>
    </row>
    <row r="306" spans="1:1" x14ac:dyDescent="0.25">
      <c r="A306" s="15">
        <f t="shared" si="8"/>
        <v>271</v>
      </c>
    </row>
    <row r="307" spans="1:1" x14ac:dyDescent="0.25">
      <c r="A307" s="15">
        <f t="shared" si="8"/>
        <v>272</v>
      </c>
    </row>
    <row r="308" spans="1:1" x14ac:dyDescent="0.25">
      <c r="A308" s="15">
        <f t="shared" si="8"/>
        <v>273</v>
      </c>
    </row>
    <row r="309" spans="1:1" x14ac:dyDescent="0.25">
      <c r="A309" s="15">
        <f t="shared" si="8"/>
        <v>274</v>
      </c>
    </row>
    <row r="310" spans="1:1" x14ac:dyDescent="0.25">
      <c r="A310" s="15">
        <f t="shared" si="8"/>
        <v>275</v>
      </c>
    </row>
    <row r="311" spans="1:1" x14ac:dyDescent="0.25">
      <c r="A311" s="15">
        <f t="shared" si="8"/>
        <v>276</v>
      </c>
    </row>
    <row r="312" spans="1:1" x14ac:dyDescent="0.25">
      <c r="A312" s="15">
        <f t="shared" si="8"/>
        <v>277</v>
      </c>
    </row>
    <row r="313" spans="1:1" x14ac:dyDescent="0.25">
      <c r="A313" s="15">
        <f t="shared" si="8"/>
        <v>278</v>
      </c>
    </row>
    <row r="314" spans="1:1" x14ac:dyDescent="0.25">
      <c r="A314" s="15">
        <f t="shared" si="8"/>
        <v>279</v>
      </c>
    </row>
    <row r="315" spans="1:1" x14ac:dyDescent="0.25">
      <c r="A315" s="15">
        <f t="shared" si="8"/>
        <v>280</v>
      </c>
    </row>
    <row r="316" spans="1:1" x14ac:dyDescent="0.25">
      <c r="A316" s="15">
        <f t="shared" si="8"/>
        <v>281</v>
      </c>
    </row>
    <row r="317" spans="1:1" x14ac:dyDescent="0.25">
      <c r="A317" s="15">
        <f t="shared" si="8"/>
        <v>282</v>
      </c>
    </row>
    <row r="318" spans="1:1" x14ac:dyDescent="0.25">
      <c r="A318" s="15">
        <f t="shared" si="8"/>
        <v>283</v>
      </c>
    </row>
    <row r="319" spans="1:1" x14ac:dyDescent="0.25">
      <c r="A319" s="15">
        <f t="shared" si="8"/>
        <v>284</v>
      </c>
    </row>
    <row r="320" spans="1:1" x14ac:dyDescent="0.25">
      <c r="A320" s="15">
        <f t="shared" si="8"/>
        <v>285</v>
      </c>
    </row>
    <row r="321" spans="1:1" x14ac:dyDescent="0.25">
      <c r="A321" s="15">
        <f t="shared" si="8"/>
        <v>286</v>
      </c>
    </row>
    <row r="322" spans="1:1" x14ac:dyDescent="0.25">
      <c r="A322" s="15">
        <f t="shared" si="8"/>
        <v>287</v>
      </c>
    </row>
    <row r="323" spans="1:1" x14ac:dyDescent="0.25">
      <c r="A323" s="15">
        <f t="shared" si="8"/>
        <v>288</v>
      </c>
    </row>
    <row r="324" spans="1:1" x14ac:dyDescent="0.25">
      <c r="A324" s="15">
        <f t="shared" si="8"/>
        <v>289</v>
      </c>
    </row>
    <row r="325" spans="1:1" x14ac:dyDescent="0.25">
      <c r="A325" s="15">
        <f t="shared" si="8"/>
        <v>290</v>
      </c>
    </row>
    <row r="326" spans="1:1" x14ac:dyDescent="0.25">
      <c r="A326" s="15">
        <f t="shared" si="8"/>
        <v>291</v>
      </c>
    </row>
    <row r="327" spans="1:1" x14ac:dyDescent="0.25">
      <c r="A327" s="15">
        <f t="shared" si="8"/>
        <v>292</v>
      </c>
    </row>
    <row r="328" spans="1:1" x14ac:dyDescent="0.25">
      <c r="A328" s="15">
        <f t="shared" si="8"/>
        <v>293</v>
      </c>
    </row>
    <row r="329" spans="1:1" x14ac:dyDescent="0.25">
      <c r="A329" s="15">
        <f t="shared" si="8"/>
        <v>294</v>
      </c>
    </row>
    <row r="330" spans="1:1" x14ac:dyDescent="0.25">
      <c r="A330" s="15">
        <f t="shared" si="8"/>
        <v>295</v>
      </c>
    </row>
    <row r="331" spans="1:1" x14ac:dyDescent="0.25">
      <c r="A331" s="15">
        <f t="shared" si="8"/>
        <v>296</v>
      </c>
    </row>
    <row r="332" spans="1:1" x14ac:dyDescent="0.25">
      <c r="A332" s="15">
        <f t="shared" si="8"/>
        <v>297</v>
      </c>
    </row>
    <row r="333" spans="1:1" x14ac:dyDescent="0.25">
      <c r="A333" s="15">
        <f t="shared" si="8"/>
        <v>298</v>
      </c>
    </row>
    <row r="334" spans="1:1" x14ac:dyDescent="0.25">
      <c r="A334" s="15">
        <f t="shared" si="8"/>
        <v>299</v>
      </c>
    </row>
    <row r="335" spans="1:1" x14ac:dyDescent="0.25">
      <c r="A335" s="15">
        <f t="shared" si="8"/>
        <v>300</v>
      </c>
    </row>
    <row r="336" spans="1:1" x14ac:dyDescent="0.25">
      <c r="A336" s="15">
        <f t="shared" si="8"/>
        <v>301</v>
      </c>
    </row>
    <row r="337" spans="1:1" x14ac:dyDescent="0.25">
      <c r="A337" s="15">
        <f t="shared" si="8"/>
        <v>302</v>
      </c>
    </row>
    <row r="338" spans="1:1" x14ac:dyDescent="0.25">
      <c r="A338" s="15">
        <f t="shared" si="8"/>
        <v>303</v>
      </c>
    </row>
    <row r="339" spans="1:1" x14ac:dyDescent="0.25">
      <c r="A339" s="15">
        <f t="shared" si="8"/>
        <v>304</v>
      </c>
    </row>
    <row r="340" spans="1:1" x14ac:dyDescent="0.25">
      <c r="A340" s="15">
        <f t="shared" si="8"/>
        <v>305</v>
      </c>
    </row>
    <row r="341" spans="1:1" x14ac:dyDescent="0.25">
      <c r="A341" s="15">
        <f t="shared" si="8"/>
        <v>306</v>
      </c>
    </row>
    <row r="342" spans="1:1" x14ac:dyDescent="0.25">
      <c r="A342" s="15">
        <f t="shared" si="8"/>
        <v>307</v>
      </c>
    </row>
    <row r="343" spans="1:1" x14ac:dyDescent="0.25">
      <c r="A343" s="15">
        <f t="shared" si="8"/>
        <v>308</v>
      </c>
    </row>
    <row r="344" spans="1:1" x14ac:dyDescent="0.25">
      <c r="A344" s="15">
        <f t="shared" si="8"/>
        <v>309</v>
      </c>
    </row>
    <row r="345" spans="1:1" x14ac:dyDescent="0.25">
      <c r="A345" s="15">
        <f t="shared" si="8"/>
        <v>310</v>
      </c>
    </row>
    <row r="346" spans="1:1" x14ac:dyDescent="0.25">
      <c r="A346" s="15">
        <f t="shared" si="8"/>
        <v>311</v>
      </c>
    </row>
  </sheetData>
  <mergeCells count="2">
    <mergeCell ref="AD11:AJ11"/>
    <mergeCell ref="B11:M11"/>
  </mergeCells>
  <dataValidations count="6">
    <dataValidation type="list" allowBlank="1" showInputMessage="1" showErrorMessage="1" sqref="B13:B16" xr:uid="{00000000-0002-0000-0000-000000000000}">
      <formula1>"sand-HS, sand-HSS, sand-SSC, clay-HS, clay-HSS, clay-SSC, silt-HS, silt-HSS, silt-SSC"</formula1>
    </dataValidation>
    <dataValidation type="list" allowBlank="1" showInputMessage="1" showErrorMessage="1" sqref="K8" xr:uid="{00000000-0002-0000-0000-000002000000}">
      <formula1>"RD-PI, Hardin-D, Ishibasi, Darendeli"</formula1>
    </dataValidation>
    <dataValidation type="list" allowBlank="1" showInputMessage="1" showErrorMessage="1" sqref="K3" xr:uid="{00000000-0002-0000-0000-000003000000}">
      <formula1>"direct, manual"</formula1>
    </dataValidation>
    <dataValidation type="list" allowBlank="1" showInputMessage="1" showErrorMessage="1" sqref="K5" xr:uid="{00000000-0002-0000-0000-000004000000}">
      <formula1>"Alpan, SPT"</formula1>
    </dataValidation>
    <dataValidation type="list" allowBlank="1" showInputMessage="1" showErrorMessage="1" sqref="K4" xr:uid="{00000000-0002-0000-0000-000005000000}">
      <formula1>"bottom, mid_layer, manual"</formula1>
    </dataValidation>
    <dataValidation type="list" allowBlank="1" showInputMessage="1" showErrorMessage="1" sqref="AD13:AD16" xr:uid="{00000000-0002-0000-0000-000006000000}">
      <formula1>"automatic, by_grain_s, manual"</formula1>
    </dataValidation>
  </dataValidations>
  <hyperlinks>
    <hyperlink ref="V6" r:id="rId1" xr:uid="{00000000-0004-0000-0000-000000000000}"/>
  </hyperlinks>
  <pageMargins left="0.7" right="0.7" top="0.75" bottom="0.75" header="0.3" footer="0.3"/>
  <pageSetup orientation="portrait"/>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tint="0.79998168889431442"/>
  </sheetPr>
  <dimension ref="A1:A20"/>
  <sheetViews>
    <sheetView workbookViewId="0">
      <selection activeCell="A35" sqref="A35"/>
    </sheetView>
  </sheetViews>
  <sheetFormatPr defaultRowHeight="15.75" x14ac:dyDescent="0.25"/>
  <cols>
    <col min="1" max="1" width="55.375" customWidth="1"/>
  </cols>
  <sheetData>
    <row r="1" spans="1:1" x14ac:dyDescent="0.25">
      <c r="A1" t="s">
        <v>75</v>
      </c>
    </row>
    <row r="2" spans="1:1" x14ac:dyDescent="0.25">
      <c r="A2" t="s">
        <v>76</v>
      </c>
    </row>
    <row r="3" spans="1:1" x14ac:dyDescent="0.25">
      <c r="A3" t="s">
        <v>77</v>
      </c>
    </row>
    <row r="4" spans="1:1" x14ac:dyDescent="0.25">
      <c r="A4" t="s">
        <v>78</v>
      </c>
    </row>
    <row r="5" spans="1:1" x14ac:dyDescent="0.25">
      <c r="A5" t="s">
        <v>79</v>
      </c>
    </row>
    <row r="6" spans="1:1" x14ac:dyDescent="0.25">
      <c r="A6" t="s">
        <v>80</v>
      </c>
    </row>
    <row r="7" spans="1:1" x14ac:dyDescent="0.25">
      <c r="A7" t="s">
        <v>81</v>
      </c>
    </row>
    <row r="8" spans="1:1" x14ac:dyDescent="0.25">
      <c r="A8" t="s">
        <v>82</v>
      </c>
    </row>
    <row r="9" spans="1:1" x14ac:dyDescent="0.25">
      <c r="A9" t="s">
        <v>83</v>
      </c>
    </row>
    <row r="10" spans="1:1" x14ac:dyDescent="0.25">
      <c r="A10" t="s">
        <v>84</v>
      </c>
    </row>
    <row r="11" spans="1:1" x14ac:dyDescent="0.25">
      <c r="A11" t="s">
        <v>85</v>
      </c>
    </row>
    <row r="12" spans="1:1" x14ac:dyDescent="0.25">
      <c r="A12" t="s">
        <v>86</v>
      </c>
    </row>
    <row r="13" spans="1:1" x14ac:dyDescent="0.25">
      <c r="A13" t="s">
        <v>87</v>
      </c>
    </row>
    <row r="14" spans="1:1" x14ac:dyDescent="0.25">
      <c r="A14" t="s">
        <v>88</v>
      </c>
    </row>
    <row r="15" spans="1:1" x14ac:dyDescent="0.25">
      <c r="A15" t="s">
        <v>89</v>
      </c>
    </row>
    <row r="16" spans="1:1" x14ac:dyDescent="0.25">
      <c r="A16" t="s">
        <v>90</v>
      </c>
    </row>
    <row r="17" spans="1:1" x14ac:dyDescent="0.25">
      <c r="A17" t="s">
        <v>91</v>
      </c>
    </row>
    <row r="18" spans="1:1" x14ac:dyDescent="0.25">
      <c r="A18" t="s">
        <v>92</v>
      </c>
    </row>
    <row r="19" spans="1:1" x14ac:dyDescent="0.25">
      <c r="A19" t="s">
        <v>93</v>
      </c>
    </row>
    <row r="20" spans="1:1" x14ac:dyDescent="0.25">
      <c r="A20" t="s">
        <v>94</v>
      </c>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79998168889431442"/>
  </sheetPr>
  <dimension ref="A2:AJ342"/>
  <sheetViews>
    <sheetView topLeftCell="A5" zoomScale="85" zoomScaleNormal="85" workbookViewId="0">
      <selection activeCell="I239" sqref="I239"/>
    </sheetView>
  </sheetViews>
  <sheetFormatPr defaultRowHeight="15.75" outlineLevelRow="1" x14ac:dyDescent="0.25"/>
  <cols>
    <col min="2" max="2" width="31.75" bestFit="1" customWidth="1"/>
    <col min="3" max="3" width="38.5" bestFit="1" customWidth="1"/>
    <col min="4" max="4" width="8.75" customWidth="1"/>
    <col min="5" max="5" width="9" customWidth="1"/>
    <col min="6" max="7" width="10" bestFit="1" customWidth="1"/>
    <col min="8" max="8" width="18.25" bestFit="1" customWidth="1"/>
    <col min="9" max="9" width="15.25" bestFit="1" customWidth="1"/>
    <col min="10" max="10" width="15.125" bestFit="1" customWidth="1"/>
    <col min="11" max="11" width="14.125" bestFit="1" customWidth="1"/>
    <col min="12" max="12" width="13.75" bestFit="1" customWidth="1"/>
    <col min="13" max="13" width="16.25" bestFit="1" customWidth="1"/>
    <col min="14" max="14" width="19" bestFit="1" customWidth="1"/>
    <col min="15" max="15" width="15.875" bestFit="1" customWidth="1"/>
    <col min="16" max="16" width="16" bestFit="1" customWidth="1"/>
    <col min="17" max="17" width="12.375" bestFit="1" customWidth="1"/>
    <col min="18" max="19" width="12.75" bestFit="1" customWidth="1"/>
    <col min="20" max="20" width="30.5" bestFit="1" customWidth="1"/>
    <col min="21" max="21" width="23.5" bestFit="1" customWidth="1"/>
    <col min="22" max="22" width="11.875" bestFit="1" customWidth="1"/>
    <col min="23" max="23" width="9.375" customWidth="1"/>
    <col min="30" max="30" width="12.375" bestFit="1" customWidth="1"/>
    <col min="31" max="32" width="8.75" bestFit="1" customWidth="1"/>
  </cols>
  <sheetData>
    <row r="2" spans="2:36" x14ac:dyDescent="0.25">
      <c r="J2" t="s">
        <v>95</v>
      </c>
      <c r="K2" s="74">
        <v>0.05</v>
      </c>
      <c r="M2" s="4"/>
      <c r="N2" t="s">
        <v>96</v>
      </c>
    </row>
    <row r="3" spans="2:36" x14ac:dyDescent="0.25">
      <c r="J3" t="s">
        <v>97</v>
      </c>
      <c r="K3" s="35" t="s">
        <v>98</v>
      </c>
      <c r="M3" s="36"/>
      <c r="N3" t="s">
        <v>99</v>
      </c>
    </row>
    <row r="4" spans="2:36" ht="16.5" customHeight="1" thickBot="1" x14ac:dyDescent="0.3">
      <c r="B4" t="s">
        <v>100</v>
      </c>
      <c r="D4" t="s">
        <v>101</v>
      </c>
    </row>
    <row r="5" spans="2:36" ht="16.5" customHeight="1" thickBot="1" x14ac:dyDescent="0.3">
      <c r="B5" s="79" t="s">
        <v>22</v>
      </c>
      <c r="C5" s="77"/>
      <c r="D5" s="77"/>
      <c r="E5" s="77"/>
      <c r="F5" s="77"/>
      <c r="G5" s="77"/>
      <c r="H5" s="77"/>
      <c r="I5" s="77"/>
      <c r="J5" s="77"/>
      <c r="K5" s="77"/>
      <c r="L5" s="77"/>
      <c r="M5" s="78"/>
      <c r="N5" s="20" t="s">
        <v>23</v>
      </c>
      <c r="O5" s="21"/>
      <c r="P5" s="21"/>
      <c r="Q5" s="21"/>
      <c r="R5" s="21"/>
      <c r="S5" s="21"/>
      <c r="T5" s="28" t="s">
        <v>24</v>
      </c>
      <c r="U5" s="29"/>
      <c r="V5" s="29"/>
      <c r="W5" s="29"/>
      <c r="X5" s="20" t="s">
        <v>25</v>
      </c>
      <c r="Y5" s="21"/>
      <c r="Z5" s="34"/>
      <c r="AA5" s="20" t="s">
        <v>26</v>
      </c>
      <c r="AB5" s="21"/>
      <c r="AC5" s="34"/>
      <c r="AD5" s="76" t="s">
        <v>27</v>
      </c>
      <c r="AE5" s="77"/>
      <c r="AF5" s="77"/>
      <c r="AG5" s="77"/>
      <c r="AH5" s="77"/>
      <c r="AI5" s="77"/>
      <c r="AJ5" s="78"/>
    </row>
    <row r="6" spans="2:36" ht="16.5" customHeight="1" x14ac:dyDescent="0.3">
      <c r="B6" s="48" t="s">
        <v>28</v>
      </c>
      <c r="C6" s="48" t="s">
        <v>29</v>
      </c>
      <c r="D6" s="48" t="s">
        <v>30</v>
      </c>
      <c r="E6" s="48" t="s">
        <v>31</v>
      </c>
      <c r="F6" s="48" t="s">
        <v>32</v>
      </c>
      <c r="G6" s="48" t="s">
        <v>33</v>
      </c>
      <c r="H6" s="48" t="s">
        <v>34</v>
      </c>
      <c r="I6" s="48" t="s">
        <v>35</v>
      </c>
      <c r="J6" s="48" t="s">
        <v>36</v>
      </c>
      <c r="K6" s="48" t="s">
        <v>37</v>
      </c>
      <c r="L6" s="48" t="s">
        <v>38</v>
      </c>
      <c r="M6" s="48" t="s">
        <v>39</v>
      </c>
      <c r="N6" s="49" t="s">
        <v>40</v>
      </c>
      <c r="O6" s="49" t="s">
        <v>9</v>
      </c>
      <c r="P6" s="49" t="s">
        <v>41</v>
      </c>
      <c r="Q6" s="49" t="s">
        <v>42</v>
      </c>
      <c r="R6" s="49" t="s">
        <v>43</v>
      </c>
      <c r="S6" s="50" t="s">
        <v>44</v>
      </c>
      <c r="T6" s="25" t="s">
        <v>45</v>
      </c>
      <c r="U6" s="25" t="s">
        <v>46</v>
      </c>
      <c r="V6" s="51" t="s">
        <v>47</v>
      </c>
      <c r="W6" s="51" t="s">
        <v>48</v>
      </c>
      <c r="X6" s="52" t="s">
        <v>49</v>
      </c>
      <c r="Y6" s="52" t="s">
        <v>50</v>
      </c>
      <c r="Z6" s="52" t="s">
        <v>51</v>
      </c>
      <c r="AA6" s="52" t="s">
        <v>52</v>
      </c>
      <c r="AB6" s="52" t="s">
        <v>53</v>
      </c>
      <c r="AC6" s="52" t="s">
        <v>54</v>
      </c>
      <c r="AD6" s="50" t="s">
        <v>55</v>
      </c>
      <c r="AE6" s="49" t="s">
        <v>56</v>
      </c>
      <c r="AF6" s="49" t="s">
        <v>57</v>
      </c>
      <c r="AG6" s="49" t="s">
        <v>58</v>
      </c>
      <c r="AH6" s="49" t="s">
        <v>59</v>
      </c>
      <c r="AI6" s="48" t="s">
        <v>60</v>
      </c>
      <c r="AJ6" s="48" t="s">
        <v>61</v>
      </c>
    </row>
    <row r="7" spans="2:36" x14ac:dyDescent="0.25">
      <c r="B7" s="3" t="s">
        <v>102</v>
      </c>
      <c r="C7" s="35" t="s">
        <v>103</v>
      </c>
      <c r="D7" s="35">
        <v>18</v>
      </c>
      <c r="E7" s="35">
        <v>18</v>
      </c>
      <c r="F7" s="35" t="s">
        <v>104</v>
      </c>
      <c r="G7" s="35" t="s">
        <v>104</v>
      </c>
      <c r="H7" s="35" t="s">
        <v>104</v>
      </c>
      <c r="I7" s="35" t="s">
        <v>104</v>
      </c>
      <c r="J7" s="35">
        <v>1</v>
      </c>
      <c r="K7" s="35">
        <v>35</v>
      </c>
      <c r="L7" s="53">
        <v>0</v>
      </c>
      <c r="M7" s="53">
        <v>0.67</v>
      </c>
      <c r="N7" s="53">
        <v>2000</v>
      </c>
      <c r="O7" s="53">
        <v>0.5</v>
      </c>
      <c r="P7" s="53">
        <v>100</v>
      </c>
      <c r="Q7" s="53">
        <v>76070</v>
      </c>
      <c r="R7" s="53">
        <v>76070</v>
      </c>
      <c r="S7" s="53">
        <v>220000</v>
      </c>
      <c r="T7" s="53">
        <v>258110</v>
      </c>
      <c r="U7" s="53">
        <v>8.3999999999999995E-5</v>
      </c>
      <c r="V7" s="53"/>
      <c r="W7" s="53">
        <v>0</v>
      </c>
      <c r="X7" s="35">
        <v>1</v>
      </c>
      <c r="Y7" s="35"/>
      <c r="Z7" s="35"/>
      <c r="AA7" s="35"/>
      <c r="AB7" s="35"/>
      <c r="AC7" s="54"/>
      <c r="AD7" s="35" t="s">
        <v>64</v>
      </c>
      <c r="AE7" s="54">
        <v>10</v>
      </c>
      <c r="AF7" s="54">
        <v>20</v>
      </c>
      <c r="AG7" s="54"/>
      <c r="AH7" s="35"/>
      <c r="AI7" s="3"/>
      <c r="AJ7" s="3"/>
    </row>
    <row r="8" spans="2:36" x14ac:dyDescent="0.25">
      <c r="B8" s="3" t="s">
        <v>105</v>
      </c>
      <c r="C8" s="35" t="s">
        <v>106</v>
      </c>
      <c r="D8" s="35">
        <v>16</v>
      </c>
      <c r="E8" s="35">
        <v>16</v>
      </c>
      <c r="F8" s="35" t="s">
        <v>104</v>
      </c>
      <c r="G8" s="35" t="s">
        <v>104</v>
      </c>
      <c r="H8" s="35" t="s">
        <v>104</v>
      </c>
      <c r="I8" s="35" t="s">
        <v>104</v>
      </c>
      <c r="J8" s="35">
        <v>5</v>
      </c>
      <c r="K8" s="35">
        <v>25</v>
      </c>
      <c r="L8" s="53">
        <v>0</v>
      </c>
      <c r="M8" s="53">
        <v>0.67</v>
      </c>
      <c r="N8" s="53">
        <v>2000</v>
      </c>
      <c r="O8" s="53">
        <v>0.5</v>
      </c>
      <c r="P8" s="53">
        <v>100</v>
      </c>
      <c r="Q8" s="53">
        <v>25000</v>
      </c>
      <c r="R8" s="53">
        <v>25000</v>
      </c>
      <c r="S8" s="53">
        <v>75000</v>
      </c>
      <c r="T8" s="53">
        <v>258110</v>
      </c>
      <c r="U8" s="53">
        <v>8.3999999999999995E-5</v>
      </c>
      <c r="V8" s="53"/>
      <c r="W8" s="53">
        <v>0</v>
      </c>
      <c r="X8" s="35">
        <v>1</v>
      </c>
      <c r="Y8" s="35"/>
      <c r="Z8" s="35"/>
      <c r="AA8" s="35"/>
      <c r="AB8" s="35"/>
      <c r="AC8" s="54"/>
      <c r="AD8" s="35" t="s">
        <v>68</v>
      </c>
      <c r="AE8" s="54"/>
      <c r="AF8" s="54"/>
      <c r="AG8" s="54"/>
      <c r="AH8" s="35"/>
      <c r="AI8" s="3"/>
      <c r="AJ8" s="3"/>
    </row>
    <row r="9" spans="2:36" x14ac:dyDescent="0.25">
      <c r="B9" s="3" t="s">
        <v>102</v>
      </c>
      <c r="C9" s="35" t="s">
        <v>107</v>
      </c>
      <c r="D9" s="35">
        <v>20</v>
      </c>
      <c r="E9" s="35">
        <v>20</v>
      </c>
      <c r="F9" s="35" t="s">
        <v>104</v>
      </c>
      <c r="G9" s="35" t="s">
        <v>104</v>
      </c>
      <c r="H9" s="35" t="s">
        <v>104</v>
      </c>
      <c r="I9" s="35" t="s">
        <v>104</v>
      </c>
      <c r="J9" s="35">
        <v>0.1</v>
      </c>
      <c r="K9" s="35">
        <v>45</v>
      </c>
      <c r="L9" s="53">
        <v>0</v>
      </c>
      <c r="M9" s="53">
        <v>0.67</v>
      </c>
      <c r="N9" s="53">
        <v>2000</v>
      </c>
      <c r="O9" s="53">
        <v>0.5</v>
      </c>
      <c r="P9" s="53">
        <v>100</v>
      </c>
      <c r="Q9" s="53">
        <v>100000</v>
      </c>
      <c r="R9" s="53">
        <v>90000</v>
      </c>
      <c r="S9" s="53">
        <v>300000</v>
      </c>
      <c r="T9" s="53"/>
      <c r="U9" s="53"/>
      <c r="V9" s="53"/>
      <c r="W9" s="53">
        <v>0</v>
      </c>
      <c r="X9" s="35">
        <v>1</v>
      </c>
      <c r="Y9" s="35"/>
      <c r="Z9" s="35"/>
      <c r="AA9" s="35"/>
      <c r="AB9" s="35"/>
      <c r="AC9" s="54"/>
      <c r="AD9" s="35" t="s">
        <v>108</v>
      </c>
      <c r="AE9" s="54">
        <v>0</v>
      </c>
      <c r="AF9" s="54">
        <v>0</v>
      </c>
      <c r="AG9" s="54"/>
      <c r="AH9" s="35"/>
      <c r="AI9" s="3"/>
      <c r="AJ9" s="3"/>
    </row>
    <row r="10" spans="2:36" x14ac:dyDescent="0.25">
      <c r="B10" s="3"/>
      <c r="C10" s="35"/>
      <c r="D10" s="35"/>
      <c r="E10" s="35"/>
      <c r="F10" s="35"/>
      <c r="G10" s="35"/>
      <c r="H10" s="35"/>
      <c r="I10" s="35"/>
      <c r="J10" s="35"/>
      <c r="K10" s="35"/>
      <c r="L10" s="53"/>
      <c r="M10" s="53"/>
      <c r="N10" s="53"/>
      <c r="O10" s="53"/>
      <c r="P10" s="53"/>
      <c r="Q10" s="53"/>
      <c r="R10" s="53"/>
      <c r="S10" s="53"/>
      <c r="T10" s="53"/>
      <c r="U10" s="53"/>
      <c r="V10" s="53"/>
      <c r="W10" s="53"/>
      <c r="X10" s="35"/>
      <c r="Y10" s="35"/>
      <c r="Z10" s="35"/>
      <c r="AA10" s="35"/>
      <c r="AB10" s="35"/>
      <c r="AC10" s="54"/>
      <c r="AD10" s="35"/>
      <c r="AE10" s="54"/>
      <c r="AF10" s="54"/>
      <c r="AG10" s="54"/>
      <c r="AH10" s="35"/>
      <c r="AI10" s="3"/>
      <c r="AJ10" s="3"/>
    </row>
    <row r="11" spans="2:36" x14ac:dyDescent="0.25">
      <c r="B11" s="3"/>
      <c r="C11" s="35"/>
      <c r="D11" s="35"/>
      <c r="E11" s="35"/>
      <c r="F11" s="35"/>
      <c r="G11" s="35"/>
      <c r="H11" s="35"/>
      <c r="I11" s="35"/>
      <c r="J11" s="35"/>
      <c r="K11" s="35"/>
      <c r="L11" s="53"/>
      <c r="M11" s="53"/>
      <c r="N11" s="53"/>
      <c r="O11" s="53"/>
      <c r="P11" s="53"/>
      <c r="Q11" s="53"/>
      <c r="R11" s="53"/>
      <c r="S11" s="53"/>
      <c r="T11" s="53"/>
      <c r="U11" s="53"/>
      <c r="V11" s="53"/>
      <c r="W11" s="53"/>
      <c r="X11" s="35"/>
      <c r="Y11" s="35"/>
      <c r="Z11" s="35"/>
      <c r="AA11" s="35"/>
      <c r="AB11" s="35"/>
      <c r="AC11" s="54"/>
      <c r="AD11" s="35"/>
      <c r="AE11" s="54"/>
      <c r="AF11" s="54"/>
      <c r="AG11" s="54"/>
      <c r="AH11" s="35"/>
      <c r="AI11" s="3"/>
      <c r="AJ11" s="3"/>
    </row>
    <row r="12" spans="2:36" x14ac:dyDescent="0.25">
      <c r="B12" s="3"/>
      <c r="C12" s="35"/>
      <c r="D12" s="35"/>
      <c r="E12" s="35"/>
      <c r="F12" s="35"/>
      <c r="G12" s="35"/>
      <c r="H12" s="35"/>
      <c r="I12" s="35"/>
      <c r="J12" s="35"/>
      <c r="K12" s="35"/>
      <c r="L12" s="74"/>
      <c r="M12" s="53"/>
      <c r="N12" s="53"/>
      <c r="O12" s="53"/>
      <c r="P12" s="53"/>
      <c r="Q12" s="53"/>
      <c r="R12" s="53"/>
      <c r="S12" s="53"/>
      <c r="T12" s="53"/>
      <c r="U12" s="53"/>
      <c r="V12" s="53"/>
      <c r="W12" s="53"/>
      <c r="X12" s="35"/>
      <c r="Y12" s="35"/>
      <c r="Z12" s="35"/>
      <c r="AA12" s="35"/>
      <c r="AB12" s="35"/>
      <c r="AC12" s="54"/>
      <c r="AD12" s="35"/>
      <c r="AE12" s="54"/>
      <c r="AF12" s="54"/>
      <c r="AG12" s="54"/>
      <c r="AH12" s="35"/>
      <c r="AI12" s="3"/>
      <c r="AJ12" s="3"/>
    </row>
    <row r="13" spans="2:36" x14ac:dyDescent="0.25">
      <c r="B13" s="3"/>
      <c r="C13" s="35"/>
      <c r="D13" s="35"/>
      <c r="E13" s="35"/>
      <c r="F13" s="35"/>
      <c r="G13" s="35"/>
      <c r="H13" s="35"/>
      <c r="I13" s="35"/>
      <c r="J13" s="35"/>
      <c r="K13" s="35"/>
      <c r="L13" s="53"/>
      <c r="M13" s="53"/>
      <c r="N13" s="53"/>
      <c r="O13" s="53"/>
      <c r="P13" s="53"/>
      <c r="Q13" s="53"/>
      <c r="R13" s="53"/>
      <c r="S13" s="53"/>
      <c r="T13" s="53"/>
      <c r="U13" s="53"/>
      <c r="V13" s="53"/>
      <c r="W13" s="53"/>
      <c r="X13" s="35"/>
      <c r="Y13" s="35"/>
      <c r="Z13" s="35"/>
      <c r="AA13" s="35"/>
      <c r="AB13" s="35"/>
      <c r="AC13" s="54"/>
      <c r="AD13" s="35"/>
      <c r="AE13" s="54"/>
      <c r="AF13" s="54"/>
      <c r="AG13" s="54"/>
      <c r="AH13" s="35"/>
      <c r="AI13" s="3"/>
      <c r="AJ13" s="3"/>
    </row>
    <row r="14" spans="2:36" x14ac:dyDescent="0.25">
      <c r="B14" s="3"/>
      <c r="C14" s="35"/>
      <c r="D14" s="35"/>
      <c r="E14" s="35"/>
      <c r="F14" s="35"/>
      <c r="G14" s="35"/>
      <c r="H14" s="35"/>
      <c r="I14" s="35"/>
      <c r="J14" s="35"/>
      <c r="K14" s="35"/>
      <c r="L14" s="53"/>
      <c r="M14" s="53"/>
      <c r="N14" s="53"/>
      <c r="O14" s="53"/>
      <c r="P14" s="53"/>
      <c r="Q14" s="53"/>
      <c r="R14" s="53"/>
      <c r="S14" s="53"/>
      <c r="T14" s="53"/>
      <c r="U14" s="53"/>
      <c r="V14" s="53"/>
      <c r="W14" s="53"/>
      <c r="X14" s="35"/>
      <c r="Y14" s="35"/>
      <c r="Z14" s="35"/>
      <c r="AA14" s="35"/>
      <c r="AB14" s="35"/>
      <c r="AC14" s="54"/>
      <c r="AD14" s="35"/>
      <c r="AE14" s="54"/>
      <c r="AF14" s="54"/>
      <c r="AG14" s="54"/>
      <c r="AH14" s="35"/>
      <c r="AI14" s="3"/>
      <c r="AJ14" s="3"/>
    </row>
    <row r="15" spans="2:36" x14ac:dyDescent="0.25">
      <c r="B15" s="11" t="s">
        <v>109</v>
      </c>
      <c r="C15" s="11" t="s">
        <v>110</v>
      </c>
      <c r="D15" s="35"/>
      <c r="E15" s="35"/>
      <c r="F15" s="35"/>
      <c r="G15" s="35"/>
      <c r="H15" s="35"/>
      <c r="I15" s="35"/>
      <c r="J15" s="35"/>
      <c r="K15" s="35"/>
      <c r="L15" s="53"/>
      <c r="M15" s="53"/>
      <c r="N15" s="53"/>
      <c r="O15" s="53"/>
      <c r="P15" s="53"/>
      <c r="Q15" s="53"/>
      <c r="R15" s="53"/>
      <c r="S15" s="53"/>
      <c r="T15" s="53"/>
      <c r="U15" s="53"/>
      <c r="V15" s="53"/>
      <c r="W15" s="53"/>
      <c r="X15" s="35"/>
      <c r="Y15" s="35"/>
      <c r="Z15" s="35"/>
      <c r="AA15" s="35"/>
      <c r="AB15" s="35"/>
      <c r="AC15" s="54"/>
      <c r="AD15" s="35"/>
      <c r="AE15" s="54"/>
      <c r="AF15" s="54"/>
      <c r="AG15" s="54"/>
      <c r="AH15" s="35"/>
      <c r="AI15" s="3"/>
      <c r="AJ15" s="3"/>
    </row>
    <row r="16" spans="2:36" x14ac:dyDescent="0.25">
      <c r="B16" s="11" t="s">
        <v>109</v>
      </c>
      <c r="C16" s="11" t="s">
        <v>111</v>
      </c>
      <c r="D16" s="11"/>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row>
    <row r="18" spans="2:24" ht="16.5" customHeight="1" x14ac:dyDescent="0.3">
      <c r="B18" s="47" t="s">
        <v>112</v>
      </c>
      <c r="C18" s="47" t="s">
        <v>113</v>
      </c>
      <c r="D18" s="47" t="s">
        <v>114</v>
      </c>
      <c r="E18" s="47" t="s">
        <v>115</v>
      </c>
      <c r="F18" s="47" t="s">
        <v>116</v>
      </c>
      <c r="G18" s="47" t="s">
        <v>117</v>
      </c>
      <c r="H18" s="47" t="s">
        <v>118</v>
      </c>
      <c r="I18" s="47" t="s">
        <v>119</v>
      </c>
      <c r="J18" s="47" t="s">
        <v>120</v>
      </c>
      <c r="K18" s="47" t="s">
        <v>121</v>
      </c>
    </row>
    <row r="19" spans="2:24" x14ac:dyDescent="0.25">
      <c r="B19" s="3" t="s">
        <v>376</v>
      </c>
      <c r="C19" s="3" t="s">
        <v>122</v>
      </c>
      <c r="D19" s="3">
        <v>90.837000000000003</v>
      </c>
      <c r="E19" s="3">
        <v>12.1</v>
      </c>
      <c r="F19" s="3">
        <v>0</v>
      </c>
      <c r="G19" s="3">
        <v>12.1</v>
      </c>
      <c r="H19" s="3" t="s">
        <v>123</v>
      </c>
      <c r="I19" s="3" t="s">
        <v>124</v>
      </c>
      <c r="J19" s="53">
        <v>0</v>
      </c>
      <c r="K19" s="53">
        <v>-7.5</v>
      </c>
    </row>
    <row r="20" spans="2:24" x14ac:dyDescent="0.25">
      <c r="B20" s="3" t="s">
        <v>377</v>
      </c>
      <c r="C20" s="3" t="s">
        <v>125</v>
      </c>
      <c r="D20" s="3">
        <v>138.995</v>
      </c>
      <c r="E20" s="3">
        <v>11.1</v>
      </c>
      <c r="F20" s="3">
        <v>138.995</v>
      </c>
      <c r="G20" s="3">
        <v>6.1</v>
      </c>
      <c r="H20" s="3" t="s">
        <v>126</v>
      </c>
      <c r="I20" s="3" t="s">
        <v>124</v>
      </c>
      <c r="J20" s="53">
        <v>-60</v>
      </c>
      <c r="K20" s="53">
        <v>0</v>
      </c>
    </row>
    <row r="21" spans="2:24" x14ac:dyDescent="0.25">
      <c r="B21" s="3" t="s">
        <v>378</v>
      </c>
      <c r="C21" s="3" t="s">
        <v>127</v>
      </c>
      <c r="D21" s="3">
        <v>104.745</v>
      </c>
      <c r="E21" s="3">
        <v>12.106999999999999</v>
      </c>
      <c r="F21" s="3"/>
      <c r="G21" s="3"/>
      <c r="H21" s="3" t="s">
        <v>128</v>
      </c>
      <c r="I21" s="3" t="s">
        <v>129</v>
      </c>
      <c r="J21" s="53">
        <v>0</v>
      </c>
      <c r="K21" s="53">
        <v>-450</v>
      </c>
    </row>
    <row r="22" spans="2:24" outlineLevel="1" x14ac:dyDescent="0.25">
      <c r="B22" s="3" t="s">
        <v>379</v>
      </c>
      <c r="C22" s="3" t="s">
        <v>127</v>
      </c>
      <c r="D22" s="3">
        <v>134.81299999999999</v>
      </c>
      <c r="E22" s="3">
        <v>12.1</v>
      </c>
      <c r="F22" s="3"/>
      <c r="G22" s="3"/>
      <c r="H22" s="3" t="s">
        <v>130</v>
      </c>
      <c r="I22" s="3" t="s">
        <v>129</v>
      </c>
      <c r="J22" s="53">
        <v>0</v>
      </c>
      <c r="K22" s="53">
        <v>-450</v>
      </c>
      <c r="W22" s="11">
        <v>3514284.069487785</v>
      </c>
      <c r="X22" s="44">
        <v>25365470.41249628</v>
      </c>
    </row>
    <row r="23" spans="2:24" outlineLevel="1" x14ac:dyDescent="0.25">
      <c r="B23" s="3" t="s">
        <v>380</v>
      </c>
      <c r="C23" s="3" t="s">
        <v>131</v>
      </c>
      <c r="D23" s="3">
        <v>76.429000000000002</v>
      </c>
      <c r="E23" s="3">
        <v>12.1</v>
      </c>
      <c r="F23" s="3"/>
      <c r="G23" s="3"/>
      <c r="H23" s="3" t="s">
        <v>132</v>
      </c>
      <c r="I23" s="3" t="s">
        <v>129</v>
      </c>
      <c r="J23" s="53">
        <v>0</v>
      </c>
      <c r="K23" s="53">
        <v>-175</v>
      </c>
    </row>
    <row r="24" spans="2:24" hidden="1" outlineLevel="1" x14ac:dyDescent="0.25">
      <c r="B24" s="3"/>
      <c r="C24" s="3"/>
      <c r="D24" s="3"/>
      <c r="E24" s="3"/>
      <c r="F24" s="3"/>
      <c r="G24" s="3"/>
      <c r="H24" s="3"/>
      <c r="I24" s="3"/>
      <c r="J24" s="53"/>
      <c r="K24" s="53"/>
    </row>
    <row r="25" spans="2:24" hidden="1" outlineLevel="1" x14ac:dyDescent="0.25">
      <c r="B25" s="3"/>
      <c r="C25" s="3"/>
      <c r="D25" s="3"/>
      <c r="E25" s="3"/>
      <c r="F25" s="3"/>
      <c r="G25" s="3"/>
      <c r="H25" s="3"/>
      <c r="I25" s="3"/>
      <c r="J25" s="53"/>
      <c r="K25" s="53"/>
    </row>
    <row r="26" spans="2:24" hidden="1" outlineLevel="1" x14ac:dyDescent="0.25">
      <c r="B26" s="3"/>
      <c r="C26" s="3"/>
      <c r="D26" s="3"/>
      <c r="E26" s="3"/>
      <c r="F26" s="3"/>
      <c r="G26" s="3"/>
      <c r="H26" s="3"/>
      <c r="I26" s="3"/>
      <c r="J26" s="53"/>
      <c r="K26" s="53"/>
    </row>
    <row r="27" spans="2:24" hidden="1" outlineLevel="1" x14ac:dyDescent="0.25">
      <c r="B27" s="3"/>
      <c r="C27" s="3"/>
      <c r="D27" s="3"/>
      <c r="E27" s="3"/>
      <c r="F27" s="3"/>
      <c r="G27" s="3"/>
      <c r="H27" s="3"/>
      <c r="I27" s="3"/>
      <c r="J27" s="53"/>
      <c r="K27" s="53"/>
    </row>
    <row r="28" spans="2:24" hidden="1" outlineLevel="1" x14ac:dyDescent="0.25">
      <c r="B28" s="3"/>
      <c r="C28" s="3"/>
      <c r="D28" s="3"/>
      <c r="E28" s="3"/>
      <c r="F28" s="3"/>
      <c r="G28" s="3"/>
      <c r="H28" s="3"/>
      <c r="I28" s="3"/>
      <c r="J28" s="53"/>
      <c r="K28" s="53"/>
    </row>
    <row r="29" spans="2:24" hidden="1" outlineLevel="1" x14ac:dyDescent="0.25">
      <c r="B29" s="3"/>
      <c r="C29" s="3"/>
      <c r="D29" s="3"/>
      <c r="E29" s="3"/>
      <c r="F29" s="3"/>
      <c r="G29" s="3"/>
      <c r="H29" s="3"/>
      <c r="I29" s="3"/>
      <c r="J29" s="53"/>
      <c r="K29" s="53"/>
    </row>
    <row r="30" spans="2:24" hidden="1" outlineLevel="1" x14ac:dyDescent="0.25">
      <c r="B30" s="3"/>
      <c r="C30" s="3"/>
      <c r="D30" s="3"/>
      <c r="E30" s="3"/>
      <c r="F30" s="3"/>
      <c r="G30" s="3"/>
      <c r="H30" s="3"/>
      <c r="I30" s="3"/>
      <c r="J30" s="53"/>
      <c r="K30" s="53"/>
    </row>
    <row r="31" spans="2:24" hidden="1" outlineLevel="1" x14ac:dyDescent="0.25">
      <c r="B31" s="3"/>
      <c r="C31" s="3"/>
      <c r="D31" s="3"/>
      <c r="E31" s="3"/>
      <c r="F31" s="3"/>
      <c r="G31" s="3"/>
      <c r="H31" s="3"/>
      <c r="I31" s="3"/>
      <c r="J31" s="53"/>
      <c r="K31" s="53"/>
    </row>
    <row r="32" spans="2:24" hidden="1" outlineLevel="1" x14ac:dyDescent="0.25">
      <c r="B32" s="3"/>
      <c r="C32" s="3"/>
      <c r="D32" s="3"/>
      <c r="E32" s="3"/>
      <c r="F32" s="3"/>
      <c r="G32" s="3"/>
      <c r="H32" s="3"/>
      <c r="I32" s="3"/>
      <c r="J32" s="53"/>
      <c r="K32" s="53"/>
    </row>
    <row r="33" spans="2:25" hidden="1" outlineLevel="1" x14ac:dyDescent="0.25">
      <c r="B33" s="3"/>
      <c r="C33" s="3"/>
      <c r="D33" s="3"/>
      <c r="E33" s="3"/>
      <c r="F33" s="3"/>
      <c r="G33" s="3"/>
      <c r="H33" s="3"/>
      <c r="I33" s="3"/>
      <c r="J33" s="53"/>
      <c r="K33" s="53"/>
    </row>
    <row r="34" spans="2:25" hidden="1" outlineLevel="1" x14ac:dyDescent="0.25">
      <c r="B34" s="3"/>
      <c r="C34" s="3"/>
      <c r="D34" s="3"/>
      <c r="E34" s="3"/>
      <c r="F34" s="3"/>
      <c r="G34" s="3"/>
      <c r="H34" s="3"/>
      <c r="I34" s="3"/>
      <c r="J34" s="53"/>
      <c r="K34" s="53"/>
    </row>
    <row r="35" spans="2:25" hidden="1" outlineLevel="1" x14ac:dyDescent="0.25">
      <c r="B35" s="3"/>
      <c r="C35" s="3"/>
      <c r="D35" s="3"/>
      <c r="E35" s="3"/>
      <c r="F35" s="3"/>
      <c r="G35" s="3"/>
      <c r="H35" s="3"/>
      <c r="I35" s="3"/>
      <c r="J35" s="53"/>
      <c r="K35" s="53"/>
    </row>
    <row r="36" spans="2:25" hidden="1" outlineLevel="1" x14ac:dyDescent="0.25">
      <c r="B36" s="3"/>
      <c r="C36" s="3"/>
      <c r="D36" s="3"/>
      <c r="E36" s="3"/>
      <c r="F36" s="3"/>
      <c r="G36" s="3"/>
      <c r="H36" s="3"/>
      <c r="I36" s="3"/>
      <c r="J36" s="53"/>
      <c r="K36" s="53"/>
    </row>
    <row r="37" spans="2:25" hidden="1" outlineLevel="1" x14ac:dyDescent="0.25">
      <c r="B37" s="3"/>
      <c r="C37" s="3"/>
      <c r="D37" s="3"/>
      <c r="E37" s="3"/>
      <c r="F37" s="3"/>
      <c r="G37" s="3"/>
      <c r="H37" s="3"/>
      <c r="I37" s="3"/>
      <c r="J37" s="53"/>
      <c r="K37" s="53"/>
    </row>
    <row r="38" spans="2:25" hidden="1" outlineLevel="1" x14ac:dyDescent="0.25">
      <c r="B38" s="3"/>
      <c r="C38" s="3"/>
      <c r="D38" s="3"/>
      <c r="E38" s="3"/>
      <c r="F38" s="3"/>
      <c r="G38" s="3"/>
      <c r="H38" s="3"/>
      <c r="I38" s="3"/>
      <c r="J38" s="53"/>
      <c r="K38" s="53"/>
    </row>
    <row r="40" spans="2:25" s="57" customFormat="1" x14ac:dyDescent="0.25">
      <c r="B40" s="58" t="s">
        <v>133</v>
      </c>
    </row>
    <row r="42" spans="2:25" s="26" customFormat="1" ht="16.5" customHeight="1" x14ac:dyDescent="0.3">
      <c r="B42" s="47" t="s">
        <v>134</v>
      </c>
      <c r="C42" s="47" t="s">
        <v>113</v>
      </c>
      <c r="D42" s="47" t="s">
        <v>114</v>
      </c>
      <c r="E42" s="47" t="s">
        <v>115</v>
      </c>
      <c r="F42" s="47" t="s">
        <v>116</v>
      </c>
      <c r="G42" s="47" t="s">
        <v>117</v>
      </c>
      <c r="H42" s="47" t="s">
        <v>135</v>
      </c>
      <c r="I42" s="47" t="s">
        <v>136</v>
      </c>
      <c r="J42" s="47" t="s">
        <v>137</v>
      </c>
      <c r="K42" s="47" t="s">
        <v>138</v>
      </c>
      <c r="L42" s="47" t="s">
        <v>139</v>
      </c>
      <c r="M42" s="47" t="s">
        <v>140</v>
      </c>
      <c r="N42" s="47" t="s">
        <v>141</v>
      </c>
      <c r="O42" s="47" t="s">
        <v>142</v>
      </c>
      <c r="P42" s="47" t="s">
        <v>143</v>
      </c>
      <c r="Q42" s="47" t="s">
        <v>144</v>
      </c>
      <c r="R42" s="47" t="s">
        <v>145</v>
      </c>
      <c r="S42" s="47" t="s">
        <v>146</v>
      </c>
      <c r="T42" s="47" t="s">
        <v>147</v>
      </c>
      <c r="U42" s="47" t="s">
        <v>148</v>
      </c>
      <c r="V42" s="47" t="s">
        <v>149</v>
      </c>
      <c r="W42" s="47" t="s">
        <v>150</v>
      </c>
      <c r="X42" s="47" t="s">
        <v>151</v>
      </c>
      <c r="Y42" s="47" t="s">
        <v>152</v>
      </c>
    </row>
    <row r="43" spans="2:25" s="26" customFormat="1" x14ac:dyDescent="0.25">
      <c r="B43" s="42" t="s">
        <v>510</v>
      </c>
      <c r="C43" s="43" t="s">
        <v>508</v>
      </c>
      <c r="D43" s="44">
        <v>131.52799999999999</v>
      </c>
      <c r="E43" s="44">
        <v>3.9940000000000002</v>
      </c>
      <c r="F43" s="44">
        <v>131.52799999999999</v>
      </c>
      <c r="G43" s="44">
        <v>-50.345999999999997</v>
      </c>
      <c r="H43" s="35" t="s">
        <v>153</v>
      </c>
      <c r="I43" s="35" t="s">
        <v>154</v>
      </c>
      <c r="J43" s="35"/>
      <c r="K43" s="35"/>
      <c r="L43" s="35"/>
      <c r="M43" s="35">
        <v>0</v>
      </c>
      <c r="N43" s="35">
        <v>14</v>
      </c>
      <c r="O43" s="35" t="s">
        <v>155</v>
      </c>
      <c r="P43" s="46" t="s">
        <v>156</v>
      </c>
      <c r="Q43" s="46" t="s">
        <v>156</v>
      </c>
      <c r="R43" s="46" t="s">
        <v>104</v>
      </c>
      <c r="S43" s="35" t="s">
        <v>104</v>
      </c>
      <c r="T43" s="35" t="s">
        <v>104</v>
      </c>
      <c r="U43" s="35" t="s">
        <v>104</v>
      </c>
      <c r="V43" s="44">
        <v>0</v>
      </c>
      <c r="W43" s="11">
        <v>3514284.069487785</v>
      </c>
      <c r="X43" s="44">
        <v>25365470.41249628</v>
      </c>
      <c r="Y43" s="44" t="s">
        <v>104</v>
      </c>
    </row>
    <row r="44" spans="2:25" s="26" customFormat="1" x14ac:dyDescent="0.25">
      <c r="B44" s="37" t="s">
        <v>510</v>
      </c>
      <c r="C44" s="37" t="s">
        <v>508</v>
      </c>
      <c r="D44" s="11">
        <v>131.52799999999999</v>
      </c>
      <c r="E44" s="11">
        <v>3.9940000000000002</v>
      </c>
      <c r="F44" s="11">
        <v>131.52799999999999</v>
      </c>
      <c r="G44" s="11">
        <v>5.6840000000000002</v>
      </c>
      <c r="H44" s="35" t="s">
        <v>153</v>
      </c>
      <c r="I44" s="35" t="s">
        <v>154</v>
      </c>
      <c r="J44" s="35"/>
      <c r="K44" s="35"/>
      <c r="L44" s="35"/>
      <c r="M44" s="35">
        <v>0</v>
      </c>
      <c r="N44" s="35">
        <v>14</v>
      </c>
      <c r="O44" s="35" t="s">
        <v>157</v>
      </c>
      <c r="P44" s="46" t="s">
        <v>156</v>
      </c>
      <c r="Q44" s="46" t="s">
        <v>156</v>
      </c>
      <c r="R44" s="46"/>
      <c r="S44" s="35"/>
      <c r="T44" s="35"/>
      <c r="U44" s="35"/>
      <c r="V44" s="11">
        <v>0</v>
      </c>
      <c r="W44" s="11">
        <v>3514284.069487785</v>
      </c>
      <c r="X44" s="44">
        <v>25365470.41249628</v>
      </c>
      <c r="Y44" s="44"/>
    </row>
    <row r="45" spans="2:25" s="26" customFormat="1" x14ac:dyDescent="0.25">
      <c r="B45" s="37" t="s">
        <v>323</v>
      </c>
      <c r="C45" s="36" t="s">
        <v>509</v>
      </c>
      <c r="D45" s="11">
        <v>103.495</v>
      </c>
      <c r="E45" s="11">
        <v>5.4</v>
      </c>
      <c r="F45" s="11">
        <v>103.495</v>
      </c>
      <c r="G45" s="11">
        <v>-13.6</v>
      </c>
      <c r="H45" s="35" t="s">
        <v>158</v>
      </c>
      <c r="I45" s="35" t="s">
        <v>154</v>
      </c>
      <c r="J45" s="35">
        <v>0.6</v>
      </c>
      <c r="K45" s="35">
        <v>25000</v>
      </c>
      <c r="L45" s="35">
        <v>0.6</v>
      </c>
      <c r="M45" s="35">
        <v>0.15</v>
      </c>
      <c r="N45" s="35">
        <v>14</v>
      </c>
      <c r="O45" s="35" t="s">
        <v>155</v>
      </c>
      <c r="P45" s="35" t="s">
        <v>156</v>
      </c>
      <c r="Q45" s="35" t="s">
        <v>156</v>
      </c>
      <c r="R45" s="35" t="s">
        <v>104</v>
      </c>
      <c r="S45" s="35" t="s">
        <v>104</v>
      </c>
      <c r="T45" s="35" t="s">
        <v>104</v>
      </c>
      <c r="U45" s="35" t="s">
        <v>104</v>
      </c>
      <c r="V45" s="11">
        <v>1.7999999999999999E-2</v>
      </c>
      <c r="W45" s="11">
        <v>449999.99999999994</v>
      </c>
      <c r="X45" s="11">
        <v>15000000</v>
      </c>
      <c r="Y45" s="11" t="s">
        <v>104</v>
      </c>
    </row>
    <row r="46" spans="2:25" s="26" customFormat="1" outlineLevel="1" x14ac:dyDescent="0.25">
      <c r="B46" s="37" t="s">
        <v>323</v>
      </c>
      <c r="C46" s="37" t="s">
        <v>509</v>
      </c>
      <c r="D46" s="11">
        <v>103.495</v>
      </c>
      <c r="E46" s="11">
        <v>5.4</v>
      </c>
      <c r="F46" s="11">
        <v>103.495</v>
      </c>
      <c r="G46" s="11">
        <v>5.9</v>
      </c>
      <c r="H46" s="35" t="s">
        <v>158</v>
      </c>
      <c r="I46" s="35" t="s">
        <v>154</v>
      </c>
      <c r="J46" s="35">
        <v>0.6</v>
      </c>
      <c r="K46" s="35">
        <v>25000</v>
      </c>
      <c r="L46" s="35">
        <v>0.6</v>
      </c>
      <c r="M46" s="35">
        <v>0.15</v>
      </c>
      <c r="N46" s="35">
        <v>14</v>
      </c>
      <c r="O46" s="35" t="s">
        <v>157</v>
      </c>
      <c r="P46" s="35" t="s">
        <v>156</v>
      </c>
      <c r="Q46" s="35" t="s">
        <v>156</v>
      </c>
      <c r="R46" s="35"/>
      <c r="S46" s="35"/>
      <c r="T46" s="35"/>
      <c r="U46" s="35"/>
      <c r="V46" s="11">
        <v>1.7999999999999999E-2</v>
      </c>
      <c r="W46" s="11">
        <v>449999.99999999994</v>
      </c>
      <c r="X46" s="11">
        <v>15000000</v>
      </c>
      <c r="Y46" s="11"/>
    </row>
    <row r="47" spans="2:25" s="26" customFormat="1" hidden="1" outlineLevel="1" x14ac:dyDescent="0.25">
      <c r="B47" s="37"/>
      <c r="C47" s="37"/>
      <c r="D47" s="11"/>
      <c r="E47" s="11"/>
      <c r="F47" s="11"/>
      <c r="G47" s="11"/>
      <c r="H47" s="35"/>
      <c r="I47" s="35"/>
      <c r="J47" s="35"/>
      <c r="K47" s="35"/>
      <c r="L47" s="35"/>
      <c r="M47" s="35"/>
      <c r="N47" s="35"/>
      <c r="O47" s="35"/>
      <c r="P47" s="35"/>
      <c r="Q47" s="35"/>
      <c r="R47" s="35"/>
      <c r="S47" s="35"/>
      <c r="T47" s="35"/>
      <c r="U47" s="35"/>
      <c r="V47" s="11"/>
      <c r="W47" s="11"/>
      <c r="X47" s="11"/>
      <c r="Y47" s="11"/>
    </row>
    <row r="48" spans="2:25" s="26" customFormat="1" hidden="1" outlineLevel="1" x14ac:dyDescent="0.25">
      <c r="B48" s="37"/>
      <c r="C48" s="36"/>
      <c r="D48" s="11"/>
      <c r="E48" s="11"/>
      <c r="F48" s="11"/>
      <c r="G48" s="11"/>
      <c r="H48" s="35"/>
      <c r="I48" s="35"/>
      <c r="J48" s="35"/>
      <c r="K48" s="35"/>
      <c r="L48" s="35"/>
      <c r="M48" s="35"/>
      <c r="N48" s="35"/>
      <c r="O48" s="35"/>
      <c r="P48" s="35"/>
      <c r="Q48" s="35"/>
      <c r="R48" s="35"/>
      <c r="S48" s="35"/>
      <c r="T48" s="35"/>
      <c r="U48" s="35"/>
      <c r="V48" s="11"/>
      <c r="W48" s="11"/>
      <c r="X48" s="11"/>
      <c r="Y48" s="11"/>
    </row>
    <row r="49" spans="2:25" s="26" customFormat="1" hidden="1" outlineLevel="1" x14ac:dyDescent="0.25">
      <c r="B49" s="37"/>
      <c r="C49" s="37"/>
      <c r="D49" s="11"/>
      <c r="E49" s="11"/>
      <c r="F49" s="11"/>
      <c r="G49" s="11"/>
      <c r="H49" s="35"/>
      <c r="I49" s="35"/>
      <c r="J49" s="35"/>
      <c r="K49" s="35"/>
      <c r="L49" s="35"/>
      <c r="M49" s="35"/>
      <c r="N49" s="35"/>
      <c r="O49" s="35"/>
      <c r="P49" s="35"/>
      <c r="Q49" s="35"/>
      <c r="R49" s="35"/>
      <c r="S49" s="35"/>
      <c r="T49" s="35"/>
      <c r="U49" s="35"/>
      <c r="V49" s="11"/>
      <c r="W49" s="11"/>
      <c r="X49" s="11"/>
      <c r="Y49" s="11"/>
    </row>
    <row r="50" spans="2:25" s="26" customFormat="1" hidden="1" outlineLevel="1" x14ac:dyDescent="0.25">
      <c r="B50" s="37"/>
      <c r="C50" s="37"/>
      <c r="D50" s="11"/>
      <c r="E50" s="11"/>
      <c r="F50" s="11"/>
      <c r="G50" s="11"/>
      <c r="H50" s="35"/>
      <c r="I50" s="35"/>
      <c r="J50" s="35"/>
      <c r="K50" s="35"/>
      <c r="L50" s="35"/>
      <c r="M50" s="35"/>
      <c r="N50" s="35"/>
      <c r="O50" s="35"/>
      <c r="P50" s="35"/>
      <c r="Q50" s="35"/>
      <c r="R50" s="35"/>
      <c r="S50" s="35"/>
      <c r="T50" s="35"/>
      <c r="U50" s="35"/>
      <c r="V50" s="11"/>
      <c r="W50" s="11"/>
      <c r="X50" s="11"/>
      <c r="Y50" s="11"/>
    </row>
    <row r="51" spans="2:25" s="26" customFormat="1" hidden="1" outlineLevel="1" x14ac:dyDescent="0.25">
      <c r="B51" s="37"/>
      <c r="C51" s="37"/>
      <c r="D51" s="11"/>
      <c r="E51" s="11"/>
      <c r="F51" s="11"/>
      <c r="G51" s="11"/>
      <c r="H51" s="35"/>
      <c r="I51" s="35"/>
      <c r="J51" s="35"/>
      <c r="K51" s="35"/>
      <c r="L51" s="35"/>
      <c r="M51" s="35"/>
      <c r="N51" s="35"/>
      <c r="O51" s="35"/>
      <c r="P51" s="35"/>
      <c r="Q51" s="35"/>
      <c r="R51" s="35"/>
      <c r="S51" s="35"/>
      <c r="T51" s="35"/>
      <c r="U51" s="35"/>
      <c r="V51" s="11"/>
      <c r="W51" s="11"/>
      <c r="X51" s="11"/>
      <c r="Y51" s="11"/>
    </row>
    <row r="52" spans="2:25" s="26" customFormat="1" hidden="1" outlineLevel="1" x14ac:dyDescent="0.25">
      <c r="B52" s="37"/>
      <c r="C52" s="37"/>
      <c r="D52" s="11"/>
      <c r="E52" s="11"/>
      <c r="F52" s="11"/>
      <c r="G52" s="11"/>
      <c r="H52" s="35"/>
      <c r="I52" s="35"/>
      <c r="J52" s="35"/>
      <c r="K52" s="35"/>
      <c r="L52" s="35"/>
      <c r="M52" s="35"/>
      <c r="N52" s="35"/>
      <c r="O52" s="35"/>
      <c r="P52" s="35"/>
      <c r="Q52" s="35"/>
      <c r="R52" s="35"/>
      <c r="S52" s="35"/>
      <c r="T52" s="35"/>
      <c r="U52" s="35"/>
      <c r="V52" s="11"/>
      <c r="W52" s="11"/>
      <c r="X52" s="11"/>
      <c r="Y52" s="11"/>
    </row>
    <row r="53" spans="2:25" s="26" customFormat="1" hidden="1" outlineLevel="1" x14ac:dyDescent="0.25">
      <c r="B53" s="37"/>
      <c r="C53" s="37"/>
      <c r="D53" s="11"/>
      <c r="E53" s="11"/>
      <c r="F53" s="11"/>
      <c r="G53" s="11"/>
      <c r="H53" s="35"/>
      <c r="I53" s="35"/>
      <c r="J53" s="35"/>
      <c r="K53" s="35"/>
      <c r="L53" s="35"/>
      <c r="M53" s="35"/>
      <c r="N53" s="35"/>
      <c r="O53" s="35"/>
      <c r="P53" s="35"/>
      <c r="Q53" s="35"/>
      <c r="R53" s="35"/>
      <c r="S53" s="35"/>
      <c r="T53" s="35"/>
      <c r="U53" s="35"/>
      <c r="V53" s="11"/>
      <c r="W53" s="11"/>
      <c r="X53" s="11"/>
      <c r="Y53" s="11"/>
    </row>
    <row r="54" spans="2:25" s="26" customFormat="1" hidden="1" outlineLevel="1" x14ac:dyDescent="0.25">
      <c r="B54" s="37"/>
      <c r="C54" s="37"/>
      <c r="D54" s="11"/>
      <c r="E54" s="11"/>
      <c r="F54" s="11"/>
      <c r="G54" s="11"/>
      <c r="H54" s="35"/>
      <c r="I54" s="35"/>
      <c r="J54" s="35"/>
      <c r="K54" s="35"/>
      <c r="L54" s="35"/>
      <c r="M54" s="35"/>
      <c r="N54" s="35"/>
      <c r="O54" s="35"/>
      <c r="P54" s="35"/>
      <c r="Q54" s="35"/>
      <c r="R54" s="35"/>
      <c r="S54" s="35"/>
      <c r="T54" s="35"/>
      <c r="U54" s="35"/>
      <c r="V54" s="11"/>
      <c r="W54" s="11"/>
      <c r="X54" s="11"/>
      <c r="Y54" s="11"/>
    </row>
    <row r="55" spans="2:25" s="26" customFormat="1" hidden="1" outlineLevel="1" x14ac:dyDescent="0.25">
      <c r="B55" s="37"/>
      <c r="C55" s="37"/>
      <c r="D55" s="11"/>
      <c r="E55" s="11"/>
      <c r="F55" s="11"/>
      <c r="G55" s="11"/>
      <c r="H55" s="35"/>
      <c r="I55" s="35"/>
      <c r="J55" s="35"/>
      <c r="K55" s="35"/>
      <c r="L55" s="35"/>
      <c r="M55" s="35"/>
      <c r="N55" s="35"/>
      <c r="O55" s="35"/>
      <c r="P55" s="35"/>
      <c r="Q55" s="35"/>
      <c r="R55" s="35"/>
      <c r="S55" s="35"/>
      <c r="T55" s="35"/>
      <c r="U55" s="35"/>
      <c r="V55" s="11"/>
      <c r="W55" s="11"/>
      <c r="X55" s="11"/>
      <c r="Y55" s="11"/>
    </row>
    <row r="56" spans="2:25" s="26" customFormat="1" hidden="1" outlineLevel="1" x14ac:dyDescent="0.25">
      <c r="B56" s="37"/>
      <c r="C56" s="37"/>
      <c r="D56" s="11"/>
      <c r="E56" s="11"/>
      <c r="F56" s="11"/>
      <c r="G56" s="11"/>
      <c r="H56" s="35"/>
      <c r="I56" s="35"/>
      <c r="J56" s="35"/>
      <c r="K56" s="35"/>
      <c r="L56" s="35"/>
      <c r="M56" s="35"/>
      <c r="N56" s="35"/>
      <c r="O56" s="35"/>
      <c r="P56" s="35"/>
      <c r="Q56" s="35"/>
      <c r="R56" s="35"/>
      <c r="S56" s="35"/>
      <c r="T56" s="35"/>
      <c r="U56" s="35"/>
      <c r="V56" s="11"/>
      <c r="W56" s="11"/>
      <c r="X56" s="11"/>
      <c r="Y56" s="11"/>
    </row>
    <row r="57" spans="2:25" s="26" customFormat="1" hidden="1" outlineLevel="1" x14ac:dyDescent="0.25">
      <c r="B57" s="37"/>
      <c r="C57" s="37"/>
      <c r="D57" s="11"/>
      <c r="E57" s="11"/>
      <c r="F57" s="11"/>
      <c r="G57" s="11"/>
      <c r="H57" s="35"/>
      <c r="I57" s="35"/>
      <c r="J57" s="35"/>
      <c r="K57" s="35"/>
      <c r="L57" s="35"/>
      <c r="M57" s="35"/>
      <c r="N57" s="35"/>
      <c r="O57" s="35"/>
      <c r="P57" s="35"/>
      <c r="Q57" s="35"/>
      <c r="R57" s="35"/>
      <c r="S57" s="35"/>
      <c r="T57" s="35"/>
      <c r="U57" s="35"/>
      <c r="V57" s="11"/>
      <c r="W57" s="11"/>
      <c r="X57" s="11"/>
      <c r="Y57" s="11"/>
    </row>
    <row r="58" spans="2:25" s="26" customFormat="1" hidden="1" outlineLevel="1" x14ac:dyDescent="0.25">
      <c r="B58" s="37"/>
      <c r="C58" s="37"/>
      <c r="D58" s="11"/>
      <c r="E58" s="11"/>
      <c r="F58" s="11"/>
      <c r="G58" s="11"/>
      <c r="H58" s="35"/>
      <c r="I58" s="35"/>
      <c r="J58" s="35"/>
      <c r="K58" s="35"/>
      <c r="L58" s="35"/>
      <c r="M58" s="35"/>
      <c r="N58" s="35"/>
      <c r="O58" s="35"/>
      <c r="P58" s="35"/>
      <c r="Q58" s="35"/>
      <c r="R58" s="35"/>
      <c r="S58" s="35"/>
      <c r="T58" s="35"/>
      <c r="U58" s="35"/>
      <c r="V58" s="11"/>
      <c r="W58" s="11"/>
      <c r="X58" s="11"/>
      <c r="Y58" s="11"/>
    </row>
    <row r="59" spans="2:25" s="26" customFormat="1" hidden="1" outlineLevel="1" x14ac:dyDescent="0.25">
      <c r="B59" s="37"/>
      <c r="C59" s="37"/>
      <c r="D59" s="11"/>
      <c r="E59" s="11"/>
      <c r="F59" s="11"/>
      <c r="G59" s="11"/>
      <c r="H59" s="35"/>
      <c r="I59" s="35"/>
      <c r="J59" s="35"/>
      <c r="K59" s="35"/>
      <c r="L59" s="35"/>
      <c r="M59" s="35"/>
      <c r="N59" s="35"/>
      <c r="O59" s="35"/>
      <c r="P59" s="35"/>
      <c r="Q59" s="35"/>
      <c r="R59" s="35"/>
      <c r="S59" s="35"/>
      <c r="T59" s="35"/>
      <c r="U59" s="35"/>
      <c r="V59" s="11"/>
      <c r="W59" s="11"/>
      <c r="X59" s="11"/>
      <c r="Y59" s="11"/>
    </row>
    <row r="60" spans="2:25" s="26" customFormat="1" hidden="1" outlineLevel="1" x14ac:dyDescent="0.25">
      <c r="B60" s="37"/>
      <c r="C60" s="37"/>
      <c r="D60" s="11"/>
      <c r="E60" s="11"/>
      <c r="F60" s="11"/>
      <c r="G60" s="11"/>
      <c r="H60" s="35"/>
      <c r="I60" s="35"/>
      <c r="J60" s="35"/>
      <c r="K60" s="35"/>
      <c r="L60" s="35"/>
      <c r="M60" s="35"/>
      <c r="N60" s="35"/>
      <c r="O60" s="35"/>
      <c r="P60" s="35"/>
      <c r="Q60" s="35"/>
      <c r="R60" s="35"/>
      <c r="S60" s="35"/>
      <c r="T60" s="35"/>
      <c r="U60" s="35"/>
      <c r="V60" s="11"/>
      <c r="W60" s="11"/>
      <c r="X60" s="11"/>
      <c r="Y60" s="11"/>
    </row>
    <row r="61" spans="2:25" s="26" customFormat="1" hidden="1" outlineLevel="1" x14ac:dyDescent="0.25">
      <c r="B61" s="37"/>
      <c r="C61" s="37"/>
      <c r="D61" s="11"/>
      <c r="E61" s="11"/>
      <c r="F61" s="11"/>
      <c r="G61" s="11"/>
      <c r="H61" s="35"/>
      <c r="I61" s="35"/>
      <c r="J61" s="35"/>
      <c r="K61" s="35"/>
      <c r="L61" s="35"/>
      <c r="M61" s="35"/>
      <c r="N61" s="35"/>
      <c r="O61" s="35"/>
      <c r="P61" s="35"/>
      <c r="Q61" s="35"/>
      <c r="R61" s="35"/>
      <c r="S61" s="35"/>
      <c r="T61" s="35"/>
      <c r="U61" s="35"/>
      <c r="V61" s="11"/>
      <c r="W61" s="11"/>
      <c r="X61" s="11"/>
      <c r="Y61" s="11"/>
    </row>
    <row r="62" spans="2:25" s="26" customFormat="1" hidden="1" outlineLevel="1" x14ac:dyDescent="0.25">
      <c r="B62" s="37"/>
      <c r="C62" s="37"/>
      <c r="D62" s="11"/>
      <c r="E62" s="11"/>
      <c r="F62" s="11"/>
      <c r="G62" s="11"/>
      <c r="H62" s="35"/>
      <c r="I62" s="35"/>
      <c r="J62" s="35"/>
      <c r="K62" s="35"/>
      <c r="L62" s="35"/>
      <c r="M62" s="35"/>
      <c r="N62" s="35"/>
      <c r="O62" s="35"/>
      <c r="P62" s="35"/>
      <c r="Q62" s="35"/>
      <c r="R62" s="35"/>
      <c r="S62" s="35"/>
      <c r="T62" s="35"/>
      <c r="U62" s="35"/>
      <c r="V62" s="11"/>
      <c r="W62" s="11"/>
      <c r="X62" s="11"/>
      <c r="Y62" s="11"/>
    </row>
    <row r="63" spans="2:25" s="26" customFormat="1" x14ac:dyDescent="0.25"/>
    <row r="64" spans="2:25" s="57" customFormat="1" x14ac:dyDescent="0.25">
      <c r="B64" s="58" t="s">
        <v>159</v>
      </c>
      <c r="D64" s="57" t="s">
        <v>160</v>
      </c>
    </row>
    <row r="65" spans="2:26" s="26" customFormat="1" x14ac:dyDescent="0.25"/>
    <row r="66" spans="2:26" s="26" customFormat="1" ht="16.5" customHeight="1" x14ac:dyDescent="0.3">
      <c r="B66" s="47" t="s">
        <v>161</v>
      </c>
      <c r="C66" s="47" t="s">
        <v>113</v>
      </c>
      <c r="D66" s="47" t="s">
        <v>114</v>
      </c>
      <c r="E66" s="47" t="s">
        <v>115</v>
      </c>
      <c r="F66" s="47" t="s">
        <v>116</v>
      </c>
      <c r="G66" s="47" t="s">
        <v>117</v>
      </c>
      <c r="H66" s="47" t="s">
        <v>162</v>
      </c>
      <c r="I66" s="47" t="s">
        <v>163</v>
      </c>
      <c r="J66" s="47" t="s">
        <v>137</v>
      </c>
      <c r="K66" s="47" t="s">
        <v>138</v>
      </c>
      <c r="L66" s="47" t="s">
        <v>139</v>
      </c>
      <c r="M66" s="47" t="s">
        <v>140</v>
      </c>
      <c r="N66" s="47" t="s">
        <v>141</v>
      </c>
      <c r="O66" s="47" t="s">
        <v>142</v>
      </c>
      <c r="P66" s="47" t="s">
        <v>143</v>
      </c>
      <c r="Q66" s="47" t="s">
        <v>144</v>
      </c>
      <c r="R66" s="47" t="s">
        <v>145</v>
      </c>
      <c r="S66" s="47" t="s">
        <v>146</v>
      </c>
      <c r="T66" s="47" t="s">
        <v>147</v>
      </c>
      <c r="U66" s="47" t="s">
        <v>148</v>
      </c>
      <c r="V66" s="47" t="s">
        <v>149</v>
      </c>
      <c r="W66" s="47" t="s">
        <v>150</v>
      </c>
      <c r="X66" s="47" t="s">
        <v>151</v>
      </c>
      <c r="Y66" s="47" t="s">
        <v>152</v>
      </c>
      <c r="Z66" s="47" t="s">
        <v>164</v>
      </c>
    </row>
    <row r="67" spans="2:26" s="26" customFormat="1" hidden="1" x14ac:dyDescent="0.25">
      <c r="B67" s="11"/>
      <c r="C67" s="36"/>
      <c r="D67" s="11"/>
      <c r="E67" s="11"/>
      <c r="F67" s="11"/>
      <c r="G67" s="11"/>
      <c r="H67" s="35" t="s">
        <v>165</v>
      </c>
      <c r="I67" s="35" t="s">
        <v>166</v>
      </c>
      <c r="J67" s="35">
        <v>0.35</v>
      </c>
      <c r="K67" s="35">
        <v>20000</v>
      </c>
      <c r="L67" s="35">
        <f>J67</f>
        <v>0.35</v>
      </c>
      <c r="M67" s="35">
        <v>0.15</v>
      </c>
      <c r="N67" s="35">
        <v>5</v>
      </c>
      <c r="O67" s="35" t="s">
        <v>167</v>
      </c>
      <c r="P67" s="46"/>
      <c r="Q67" s="46" t="s">
        <v>168</v>
      </c>
      <c r="R67" s="35">
        <v>1</v>
      </c>
      <c r="S67" s="35" t="s">
        <v>104</v>
      </c>
      <c r="T67" s="35" t="s">
        <v>104</v>
      </c>
      <c r="U67" s="35" t="s">
        <v>104</v>
      </c>
      <c r="V67" s="11">
        <v>8.3333000000000004E-2</v>
      </c>
      <c r="W67" s="11">
        <v>1666666.666666667</v>
      </c>
      <c r="X67" s="11">
        <v>7000000</v>
      </c>
      <c r="Y67" s="11">
        <v>20000000</v>
      </c>
      <c r="Z67" s="35"/>
    </row>
    <row r="68" spans="2:26" s="26" customFormat="1" hidden="1" x14ac:dyDescent="0.25">
      <c r="B68" s="11"/>
      <c r="C68" s="37"/>
      <c r="D68" s="11"/>
      <c r="E68" s="11"/>
      <c r="F68" s="11"/>
      <c r="G68" s="11"/>
      <c r="H68" s="35" t="s">
        <v>169</v>
      </c>
      <c r="I68" s="35" t="s">
        <v>170</v>
      </c>
      <c r="J68" s="35">
        <v>0.3</v>
      </c>
      <c r="K68" s="35">
        <v>20000</v>
      </c>
      <c r="L68" s="35" t="s">
        <v>104</v>
      </c>
      <c r="M68" s="35">
        <v>0.2</v>
      </c>
      <c r="N68" s="35" t="s">
        <v>104</v>
      </c>
      <c r="O68" s="35" t="s">
        <v>104</v>
      </c>
      <c r="P68" s="35" t="s">
        <v>104</v>
      </c>
      <c r="Q68" s="35" t="s">
        <v>104</v>
      </c>
      <c r="R68" s="35" t="s">
        <v>104</v>
      </c>
      <c r="S68" s="35" t="s">
        <v>104</v>
      </c>
      <c r="T68" s="35" t="s">
        <v>104</v>
      </c>
      <c r="U68" s="35" t="s">
        <v>104</v>
      </c>
      <c r="V68" s="11" t="s">
        <v>104</v>
      </c>
      <c r="W68" s="11" t="s">
        <v>104</v>
      </c>
      <c r="X68" s="11" t="s">
        <v>104</v>
      </c>
      <c r="Y68" s="11" t="s">
        <v>104</v>
      </c>
      <c r="Z68" s="35"/>
    </row>
    <row r="69" spans="2:26" s="26" customFormat="1" hidden="1" x14ac:dyDescent="0.25">
      <c r="B69" s="11"/>
      <c r="C69" s="36"/>
      <c r="D69" s="11"/>
      <c r="E69" s="11"/>
      <c r="F69" s="11"/>
      <c r="G69" s="11"/>
      <c r="H69" s="35" t="s">
        <v>165</v>
      </c>
      <c r="I69" s="35" t="s">
        <v>170</v>
      </c>
      <c r="J69" s="35">
        <v>0.3</v>
      </c>
      <c r="K69" s="35">
        <v>20000</v>
      </c>
      <c r="L69" s="35" t="s">
        <v>104</v>
      </c>
      <c r="M69" s="35">
        <v>0.2</v>
      </c>
      <c r="N69" s="35" t="s">
        <v>104</v>
      </c>
      <c r="O69" s="35" t="s">
        <v>104</v>
      </c>
      <c r="P69" s="35" t="s">
        <v>104</v>
      </c>
      <c r="Q69" s="35" t="s">
        <v>104</v>
      </c>
      <c r="R69" s="35" t="s">
        <v>104</v>
      </c>
      <c r="S69" s="35" t="s">
        <v>104</v>
      </c>
      <c r="T69" s="35" t="s">
        <v>104</v>
      </c>
      <c r="U69" s="35" t="s">
        <v>104</v>
      </c>
      <c r="V69" s="11" t="s">
        <v>104</v>
      </c>
      <c r="W69" s="11" t="s">
        <v>104</v>
      </c>
      <c r="X69" s="11" t="s">
        <v>104</v>
      </c>
      <c r="Y69" s="11" t="s">
        <v>104</v>
      </c>
      <c r="Z69" s="35"/>
    </row>
    <row r="70" spans="2:26" s="26" customFormat="1" hidden="1" outlineLevel="1" x14ac:dyDescent="0.25">
      <c r="B70" s="11"/>
      <c r="C70" s="37"/>
      <c r="D70" s="11"/>
      <c r="E70" s="11"/>
      <c r="F70" s="11"/>
      <c r="G70" s="11"/>
      <c r="H70" s="35" t="s">
        <v>169</v>
      </c>
      <c r="I70" s="35" t="s">
        <v>171</v>
      </c>
      <c r="J70" s="35">
        <v>0.3</v>
      </c>
      <c r="K70" s="35">
        <v>20000</v>
      </c>
      <c r="L70" s="35">
        <f>J70</f>
        <v>0.3</v>
      </c>
      <c r="M70" s="35">
        <v>0.15</v>
      </c>
      <c r="N70" s="35">
        <v>5</v>
      </c>
      <c r="O70" s="35" t="s">
        <v>172</v>
      </c>
      <c r="P70" s="46"/>
      <c r="Q70" s="46" t="s">
        <v>156</v>
      </c>
      <c r="R70" s="35" t="s">
        <v>104</v>
      </c>
      <c r="S70" s="35">
        <v>10</v>
      </c>
      <c r="T70" s="35">
        <v>10</v>
      </c>
      <c r="U70" s="35" t="s">
        <v>104</v>
      </c>
      <c r="V70" s="11">
        <v>2.2499999999999998E-3</v>
      </c>
      <c r="W70" s="11">
        <v>44999.999999999993</v>
      </c>
      <c r="X70" s="11">
        <v>6000000</v>
      </c>
      <c r="Y70" s="11" t="s">
        <v>104</v>
      </c>
      <c r="Z70" s="35"/>
    </row>
    <row r="71" spans="2:26" s="26" customFormat="1" hidden="1" outlineLevel="1" x14ac:dyDescent="0.25">
      <c r="B71" s="11"/>
      <c r="C71" s="36"/>
      <c r="D71" s="11"/>
      <c r="E71" s="11"/>
      <c r="F71" s="11"/>
      <c r="G71" s="11"/>
      <c r="H71" s="35" t="s">
        <v>165</v>
      </c>
      <c r="I71" s="35" t="s">
        <v>170</v>
      </c>
      <c r="J71" s="35">
        <v>0.3</v>
      </c>
      <c r="K71" s="35">
        <v>20000</v>
      </c>
      <c r="L71" s="35" t="s">
        <v>104</v>
      </c>
      <c r="M71" s="35">
        <v>0.2</v>
      </c>
      <c r="N71" s="35" t="s">
        <v>104</v>
      </c>
      <c r="O71" s="35" t="s">
        <v>104</v>
      </c>
      <c r="P71" s="35" t="s">
        <v>104</v>
      </c>
      <c r="Q71" s="35" t="s">
        <v>104</v>
      </c>
      <c r="R71" s="35" t="s">
        <v>104</v>
      </c>
      <c r="S71" s="35" t="s">
        <v>104</v>
      </c>
      <c r="T71" s="35" t="s">
        <v>104</v>
      </c>
      <c r="U71" s="35" t="s">
        <v>104</v>
      </c>
      <c r="V71" s="11" t="s">
        <v>104</v>
      </c>
      <c r="W71" s="11" t="s">
        <v>104</v>
      </c>
      <c r="X71" s="11" t="s">
        <v>104</v>
      </c>
      <c r="Y71" s="11" t="s">
        <v>104</v>
      </c>
      <c r="Z71" s="35"/>
    </row>
    <row r="72" spans="2:26" s="26" customFormat="1" hidden="1" outlineLevel="1" x14ac:dyDescent="0.25">
      <c r="B72" s="11"/>
      <c r="C72" s="37"/>
      <c r="D72" s="11"/>
      <c r="E72" s="11"/>
      <c r="F72" s="11"/>
      <c r="G72" s="11"/>
      <c r="H72" s="35" t="s">
        <v>169</v>
      </c>
      <c r="I72" s="35" t="s">
        <v>170</v>
      </c>
      <c r="J72" s="35">
        <v>0.5</v>
      </c>
      <c r="K72" s="35">
        <v>20000</v>
      </c>
      <c r="L72" s="35" t="s">
        <v>104</v>
      </c>
      <c r="M72" s="35">
        <v>0.2</v>
      </c>
      <c r="N72" s="35" t="s">
        <v>104</v>
      </c>
      <c r="O72" s="35" t="s">
        <v>104</v>
      </c>
      <c r="P72" s="35" t="s">
        <v>104</v>
      </c>
      <c r="Q72" s="35" t="s">
        <v>104</v>
      </c>
      <c r="R72" s="35" t="s">
        <v>104</v>
      </c>
      <c r="S72" s="35" t="s">
        <v>104</v>
      </c>
      <c r="T72" s="35" t="s">
        <v>104</v>
      </c>
      <c r="U72" s="35" t="s">
        <v>104</v>
      </c>
      <c r="V72" s="11" t="s">
        <v>104</v>
      </c>
      <c r="W72" s="11" t="s">
        <v>104</v>
      </c>
      <c r="X72" s="11" t="s">
        <v>104</v>
      </c>
      <c r="Y72" s="11" t="s">
        <v>104</v>
      </c>
      <c r="Z72" s="35"/>
    </row>
    <row r="73" spans="2:26" s="26" customFormat="1" hidden="1" outlineLevel="1" x14ac:dyDescent="0.25">
      <c r="B73" s="11"/>
      <c r="C73" s="37"/>
      <c r="D73" s="11"/>
      <c r="E73" s="11"/>
      <c r="F73" s="11"/>
      <c r="G73" s="11"/>
      <c r="H73" s="35"/>
      <c r="I73" s="35"/>
      <c r="J73" s="35"/>
      <c r="K73" s="35"/>
      <c r="L73" s="35"/>
      <c r="M73" s="35"/>
      <c r="N73" s="35"/>
      <c r="O73" s="35"/>
      <c r="P73" s="35"/>
      <c r="Q73" s="35"/>
      <c r="R73" s="35"/>
      <c r="S73" s="35"/>
      <c r="T73" s="35"/>
      <c r="U73" s="35"/>
      <c r="V73" s="11"/>
      <c r="W73" s="11"/>
      <c r="X73" s="11"/>
      <c r="Y73" s="11"/>
      <c r="Z73" s="35"/>
    </row>
    <row r="74" spans="2:26" s="26" customFormat="1" hidden="1" outlineLevel="1" x14ac:dyDescent="0.25">
      <c r="B74" s="11"/>
      <c r="C74" s="37"/>
      <c r="D74" s="11"/>
      <c r="E74" s="11"/>
      <c r="F74" s="11"/>
      <c r="G74" s="11"/>
      <c r="H74" s="35"/>
      <c r="I74" s="35"/>
      <c r="J74" s="35"/>
      <c r="K74" s="35"/>
      <c r="L74" s="35"/>
      <c r="M74" s="35"/>
      <c r="N74" s="35"/>
      <c r="O74" s="35"/>
      <c r="P74" s="35"/>
      <c r="Q74" s="35"/>
      <c r="R74" s="35"/>
      <c r="S74" s="35"/>
      <c r="T74" s="35"/>
      <c r="U74" s="35"/>
      <c r="V74" s="11"/>
      <c r="W74" s="11"/>
      <c r="X74" s="11"/>
      <c r="Y74" s="11"/>
      <c r="Z74" s="35"/>
    </row>
    <row r="75" spans="2:26" s="26" customFormat="1" hidden="1" outlineLevel="1" x14ac:dyDescent="0.25">
      <c r="B75" s="11"/>
      <c r="C75" s="37"/>
      <c r="D75" s="11"/>
      <c r="E75" s="11"/>
      <c r="F75" s="11"/>
      <c r="G75" s="11"/>
      <c r="H75" s="35"/>
      <c r="I75" s="35"/>
      <c r="J75" s="35"/>
      <c r="K75" s="35"/>
      <c r="L75" s="35"/>
      <c r="M75" s="35"/>
      <c r="N75" s="35"/>
      <c r="O75" s="35"/>
      <c r="P75" s="35"/>
      <c r="Q75" s="35"/>
      <c r="R75" s="35"/>
      <c r="S75" s="35"/>
      <c r="T75" s="35"/>
      <c r="U75" s="35"/>
      <c r="V75" s="11"/>
      <c r="W75" s="11"/>
      <c r="X75" s="11"/>
      <c r="Y75" s="11"/>
      <c r="Z75" s="35"/>
    </row>
    <row r="76" spans="2:26" s="26" customFormat="1" hidden="1" outlineLevel="1" x14ac:dyDescent="0.25">
      <c r="B76" s="11"/>
      <c r="C76" s="37"/>
      <c r="D76" s="11"/>
      <c r="E76" s="11"/>
      <c r="F76" s="11"/>
      <c r="G76" s="11"/>
      <c r="H76" s="35"/>
      <c r="I76" s="35"/>
      <c r="J76" s="35"/>
      <c r="K76" s="35"/>
      <c r="L76" s="35"/>
      <c r="M76" s="35"/>
      <c r="N76" s="35"/>
      <c r="O76" s="35"/>
      <c r="P76" s="35"/>
      <c r="Q76" s="35"/>
      <c r="R76" s="35"/>
      <c r="S76" s="35"/>
      <c r="T76" s="35"/>
      <c r="U76" s="35"/>
      <c r="V76" s="11"/>
      <c r="W76" s="11"/>
      <c r="X76" s="11"/>
      <c r="Y76" s="11"/>
      <c r="Z76" s="35"/>
    </row>
    <row r="77" spans="2:26" s="26" customFormat="1" hidden="1" outlineLevel="1" x14ac:dyDescent="0.25">
      <c r="B77" s="11"/>
      <c r="C77" s="37"/>
      <c r="D77" s="11"/>
      <c r="E77" s="11"/>
      <c r="F77" s="11"/>
      <c r="G77" s="11"/>
      <c r="H77" s="35"/>
      <c r="I77" s="35"/>
      <c r="J77" s="35"/>
      <c r="K77" s="35"/>
      <c r="L77" s="35"/>
      <c r="M77" s="35"/>
      <c r="N77" s="35"/>
      <c r="O77" s="35"/>
      <c r="P77" s="35"/>
      <c r="Q77" s="35"/>
      <c r="R77" s="35"/>
      <c r="S77" s="35"/>
      <c r="T77" s="35"/>
      <c r="U77" s="35"/>
      <c r="V77" s="11"/>
      <c r="W77" s="11"/>
      <c r="X77" s="11"/>
      <c r="Y77" s="11"/>
      <c r="Z77" s="35"/>
    </row>
    <row r="78" spans="2:26" s="26" customFormat="1" hidden="1" outlineLevel="1" x14ac:dyDescent="0.25">
      <c r="B78" s="11"/>
      <c r="C78" s="37"/>
      <c r="D78" s="11"/>
      <c r="E78" s="11"/>
      <c r="F78" s="11"/>
      <c r="G78" s="11"/>
      <c r="H78" s="35"/>
      <c r="I78" s="35"/>
      <c r="J78" s="35"/>
      <c r="K78" s="35"/>
      <c r="L78" s="35"/>
      <c r="M78" s="35"/>
      <c r="N78" s="35"/>
      <c r="O78" s="35"/>
      <c r="P78" s="35"/>
      <c r="Q78" s="35"/>
      <c r="R78" s="35"/>
      <c r="S78" s="35"/>
      <c r="T78" s="35"/>
      <c r="U78" s="35"/>
      <c r="V78" s="11"/>
      <c r="W78" s="11"/>
      <c r="X78" s="11"/>
      <c r="Y78" s="11"/>
      <c r="Z78" s="35"/>
    </row>
    <row r="79" spans="2:26" s="26" customFormat="1" hidden="1" outlineLevel="1" x14ac:dyDescent="0.25">
      <c r="B79" s="11"/>
      <c r="C79" s="37"/>
      <c r="D79" s="11"/>
      <c r="E79" s="11"/>
      <c r="F79" s="11"/>
      <c r="G79" s="11"/>
      <c r="H79" s="35"/>
      <c r="I79" s="35"/>
      <c r="J79" s="35"/>
      <c r="K79" s="35"/>
      <c r="L79" s="35"/>
      <c r="M79" s="35"/>
      <c r="N79" s="35"/>
      <c r="O79" s="35"/>
      <c r="P79" s="35"/>
      <c r="Q79" s="35"/>
      <c r="R79" s="35"/>
      <c r="S79" s="35"/>
      <c r="T79" s="35"/>
      <c r="U79" s="35"/>
      <c r="V79" s="11"/>
      <c r="W79" s="11"/>
      <c r="X79" s="11"/>
      <c r="Y79" s="11"/>
      <c r="Z79" s="35"/>
    </row>
    <row r="80" spans="2:26" s="26" customFormat="1" hidden="1" outlineLevel="1" x14ac:dyDescent="0.25">
      <c r="B80" s="11"/>
      <c r="C80" s="37"/>
      <c r="D80" s="11"/>
      <c r="E80" s="11"/>
      <c r="F80" s="11"/>
      <c r="G80" s="11"/>
      <c r="H80" s="35"/>
      <c r="I80" s="35"/>
      <c r="J80" s="35"/>
      <c r="K80" s="35"/>
      <c r="L80" s="35"/>
      <c r="M80" s="35"/>
      <c r="N80" s="35"/>
      <c r="O80" s="35"/>
      <c r="P80" s="35"/>
      <c r="Q80" s="35"/>
      <c r="R80" s="35"/>
      <c r="S80" s="35"/>
      <c r="T80" s="35"/>
      <c r="U80" s="35"/>
      <c r="V80" s="11"/>
      <c r="W80" s="11"/>
      <c r="X80" s="11"/>
      <c r="Y80" s="11"/>
      <c r="Z80" s="35"/>
    </row>
    <row r="81" spans="1:26" s="26" customFormat="1" hidden="1" outlineLevel="1" x14ac:dyDescent="0.25">
      <c r="B81" s="11"/>
      <c r="C81" s="37"/>
      <c r="D81" s="11"/>
      <c r="E81" s="11"/>
      <c r="F81" s="11"/>
      <c r="G81" s="11"/>
      <c r="H81" s="35"/>
      <c r="I81" s="35"/>
      <c r="J81" s="35"/>
      <c r="K81" s="35"/>
      <c r="L81" s="35"/>
      <c r="M81" s="35"/>
      <c r="N81" s="35"/>
      <c r="O81" s="35"/>
      <c r="P81" s="35"/>
      <c r="Q81" s="35"/>
      <c r="R81" s="35"/>
      <c r="S81" s="35"/>
      <c r="T81" s="35"/>
      <c r="U81" s="35"/>
      <c r="V81" s="11"/>
      <c r="W81" s="11"/>
      <c r="X81" s="11"/>
      <c r="Y81" s="11"/>
      <c r="Z81" s="35"/>
    </row>
    <row r="82" spans="1:26" s="26" customFormat="1" hidden="1" outlineLevel="1" x14ac:dyDescent="0.25">
      <c r="B82" s="11"/>
      <c r="C82" s="37"/>
      <c r="D82" s="11"/>
      <c r="E82" s="11"/>
      <c r="F82" s="11"/>
      <c r="G82" s="11"/>
      <c r="H82" s="35"/>
      <c r="I82" s="35"/>
      <c r="J82" s="35"/>
      <c r="K82" s="35"/>
      <c r="L82" s="35"/>
      <c r="M82" s="35"/>
      <c r="N82" s="35"/>
      <c r="O82" s="35"/>
      <c r="P82" s="35"/>
      <c r="Q82" s="35"/>
      <c r="R82" s="35"/>
      <c r="S82" s="35"/>
      <c r="T82" s="35"/>
      <c r="U82" s="35"/>
      <c r="V82" s="11"/>
      <c r="W82" s="11"/>
      <c r="X82" s="11"/>
      <c r="Y82" s="11"/>
      <c r="Z82" s="35"/>
    </row>
    <row r="83" spans="1:26" s="26" customFormat="1" hidden="1" outlineLevel="1" x14ac:dyDescent="0.25">
      <c r="B83" s="11"/>
      <c r="C83" s="37"/>
      <c r="D83" s="11"/>
      <c r="E83" s="11"/>
      <c r="F83" s="11"/>
      <c r="G83" s="11"/>
      <c r="H83" s="35"/>
      <c r="I83" s="35"/>
      <c r="J83" s="35"/>
      <c r="K83" s="35"/>
      <c r="L83" s="35"/>
      <c r="M83" s="35"/>
      <c r="N83" s="35"/>
      <c r="O83" s="35"/>
      <c r="P83" s="35"/>
      <c r="Q83" s="35"/>
      <c r="R83" s="35"/>
      <c r="S83" s="35"/>
      <c r="T83" s="35"/>
      <c r="U83" s="35"/>
      <c r="V83" s="11"/>
      <c r="W83" s="11"/>
      <c r="X83" s="11"/>
      <c r="Y83" s="11"/>
      <c r="Z83" s="35"/>
    </row>
    <row r="84" spans="1:26" s="26" customFormat="1" hidden="1" outlineLevel="1" x14ac:dyDescent="0.25">
      <c r="B84" s="11"/>
      <c r="C84" s="37"/>
      <c r="D84" s="11"/>
      <c r="E84" s="11"/>
      <c r="F84" s="11"/>
      <c r="G84" s="11"/>
      <c r="H84" s="35"/>
      <c r="I84" s="35"/>
      <c r="J84" s="35"/>
      <c r="K84" s="35"/>
      <c r="L84" s="35"/>
      <c r="M84" s="35"/>
      <c r="N84" s="35"/>
      <c r="O84" s="35"/>
      <c r="P84" s="35"/>
      <c r="Q84" s="35"/>
      <c r="R84" s="35"/>
      <c r="S84" s="35"/>
      <c r="T84" s="35"/>
      <c r="U84" s="35"/>
      <c r="V84" s="11"/>
      <c r="W84" s="11"/>
      <c r="X84" s="11"/>
      <c r="Y84" s="11"/>
      <c r="Z84" s="35"/>
    </row>
    <row r="85" spans="1:26" s="26" customFormat="1" hidden="1" outlineLevel="1" x14ac:dyDescent="0.25">
      <c r="B85" s="11"/>
      <c r="C85" s="37"/>
      <c r="D85" s="11"/>
      <c r="E85" s="11"/>
      <c r="F85" s="11"/>
      <c r="G85" s="11"/>
      <c r="H85" s="35"/>
      <c r="I85" s="35"/>
      <c r="J85" s="35"/>
      <c r="K85" s="35"/>
      <c r="L85" s="35"/>
      <c r="M85" s="35"/>
      <c r="N85" s="35"/>
      <c r="O85" s="35"/>
      <c r="P85" s="35"/>
      <c r="Q85" s="35"/>
      <c r="R85" s="35"/>
      <c r="S85" s="35"/>
      <c r="T85" s="35"/>
      <c r="U85" s="35"/>
      <c r="V85" s="11"/>
      <c r="W85" s="11"/>
      <c r="X85" s="11"/>
      <c r="Y85" s="11"/>
      <c r="Z85" s="35"/>
    </row>
    <row r="86" spans="1:26" s="26" customFormat="1" hidden="1" outlineLevel="1" x14ac:dyDescent="0.25">
      <c r="B86" s="11"/>
      <c r="C86" s="37"/>
      <c r="D86" s="11"/>
      <c r="E86" s="11"/>
      <c r="F86" s="11"/>
      <c r="G86" s="11"/>
      <c r="H86" s="35"/>
      <c r="I86" s="35"/>
      <c r="J86" s="35"/>
      <c r="K86" s="35"/>
      <c r="L86" s="35"/>
      <c r="M86" s="35"/>
      <c r="N86" s="35"/>
      <c r="O86" s="35"/>
      <c r="P86" s="35"/>
      <c r="Q86" s="35"/>
      <c r="R86" s="35"/>
      <c r="S86" s="35"/>
      <c r="T86" s="35"/>
      <c r="U86" s="35"/>
      <c r="V86" s="11"/>
      <c r="W86" s="11"/>
      <c r="X86" s="11"/>
      <c r="Y86" s="11"/>
      <c r="Z86" s="35"/>
    </row>
    <row r="87" spans="1:26" s="26" customFormat="1" collapsed="1" x14ac:dyDescent="0.25"/>
    <row r="88" spans="1:26" s="59" customFormat="1" x14ac:dyDescent="0.25">
      <c r="A88" s="58"/>
      <c r="B88" s="59" t="s">
        <v>173</v>
      </c>
    </row>
    <row r="89" spans="1:26" s="26" customFormat="1" x14ac:dyDescent="0.25"/>
    <row r="90" spans="1:26" s="26" customFormat="1" ht="16.5" customHeight="1" x14ac:dyDescent="0.3">
      <c r="B90" s="47" t="s">
        <v>174</v>
      </c>
      <c r="C90" s="47" t="s">
        <v>113</v>
      </c>
      <c r="D90" s="47" t="s">
        <v>114</v>
      </c>
      <c r="E90" s="47" t="s">
        <v>115</v>
      </c>
      <c r="F90" s="47" t="s">
        <v>116</v>
      </c>
      <c r="G90" s="47" t="s">
        <v>117</v>
      </c>
      <c r="H90" s="47" t="s">
        <v>175</v>
      </c>
      <c r="I90" s="47" t="s">
        <v>176</v>
      </c>
      <c r="J90" s="47" t="s">
        <v>177</v>
      </c>
      <c r="K90" s="47" t="s">
        <v>178</v>
      </c>
      <c r="L90" s="47" t="s">
        <v>179</v>
      </c>
      <c r="M90" s="47" t="s">
        <v>180</v>
      </c>
      <c r="N90" s="47" t="s">
        <v>181</v>
      </c>
      <c r="O90" s="47" t="s">
        <v>182</v>
      </c>
    </row>
    <row r="91" spans="1:26" s="26" customFormat="1" x14ac:dyDescent="0.25">
      <c r="B91" s="37" t="s">
        <v>501</v>
      </c>
      <c r="C91" s="36" t="s">
        <v>500</v>
      </c>
      <c r="D91" s="11">
        <v>77.679000000000002</v>
      </c>
      <c r="E91" s="11">
        <v>10.5</v>
      </c>
      <c r="F91" s="11">
        <v>103.995</v>
      </c>
      <c r="G91" s="11">
        <v>10.5</v>
      </c>
      <c r="H91" s="35" t="s">
        <v>499</v>
      </c>
      <c r="I91" s="35" t="s">
        <v>154</v>
      </c>
      <c r="J91" s="35">
        <v>3</v>
      </c>
      <c r="K91" s="35">
        <v>210000</v>
      </c>
      <c r="L91" s="35">
        <v>0.2</v>
      </c>
      <c r="M91" s="35" t="s">
        <v>104</v>
      </c>
      <c r="N91" s="35" t="s">
        <v>104</v>
      </c>
      <c r="O91" s="11">
        <v>42000000</v>
      </c>
    </row>
    <row r="92" spans="1:26" s="26" customFormat="1" hidden="1" x14ac:dyDescent="0.25">
      <c r="B92" s="37"/>
      <c r="C92" s="36"/>
      <c r="D92" s="11"/>
      <c r="E92" s="11"/>
      <c r="F92" s="11"/>
      <c r="G92" s="11"/>
      <c r="H92" s="35" t="s">
        <v>183</v>
      </c>
      <c r="I92" s="35" t="s">
        <v>154</v>
      </c>
      <c r="J92" s="35">
        <v>2</v>
      </c>
      <c r="K92" s="35">
        <v>210000</v>
      </c>
      <c r="L92" s="35">
        <v>0.2</v>
      </c>
      <c r="M92" s="35" t="s">
        <v>104</v>
      </c>
      <c r="N92" s="35" t="s">
        <v>104</v>
      </c>
      <c r="O92" s="11">
        <v>42000000</v>
      </c>
    </row>
    <row r="93" spans="1:26" s="26" customFormat="1" hidden="1" x14ac:dyDescent="0.25">
      <c r="B93" s="37"/>
      <c r="C93" s="37"/>
      <c r="D93" s="11"/>
      <c r="E93" s="11"/>
      <c r="F93" s="11"/>
      <c r="G93" s="11"/>
      <c r="H93" s="35"/>
      <c r="I93" s="35"/>
      <c r="J93" s="35"/>
      <c r="K93" s="35"/>
      <c r="L93" s="35"/>
      <c r="M93" s="35"/>
      <c r="N93" s="35"/>
      <c r="O93" s="11">
        <v>42000000</v>
      </c>
    </row>
    <row r="94" spans="1:26" s="26" customFormat="1" hidden="1" outlineLevel="1" x14ac:dyDescent="0.25">
      <c r="B94" s="37"/>
      <c r="C94" s="37"/>
      <c r="D94" s="11"/>
      <c r="E94" s="11"/>
      <c r="F94" s="11"/>
      <c r="G94" s="11"/>
      <c r="H94" s="35"/>
      <c r="I94" s="35"/>
      <c r="J94" s="35"/>
      <c r="K94" s="35"/>
      <c r="L94" s="35"/>
      <c r="M94" s="35"/>
      <c r="N94" s="35"/>
      <c r="O94" s="11"/>
    </row>
    <row r="95" spans="1:26" s="26" customFormat="1" hidden="1" outlineLevel="1" x14ac:dyDescent="0.25">
      <c r="B95" s="37"/>
      <c r="C95" s="37"/>
      <c r="D95" s="11"/>
      <c r="E95" s="11"/>
      <c r="F95" s="11"/>
      <c r="G95" s="11"/>
      <c r="H95" s="35"/>
      <c r="I95" s="35"/>
      <c r="J95" s="35"/>
      <c r="K95" s="35"/>
      <c r="L95" s="35"/>
      <c r="M95" s="35"/>
      <c r="N95" s="35"/>
      <c r="O95" s="11"/>
    </row>
    <row r="96" spans="1:26" s="26" customFormat="1" hidden="1" outlineLevel="1" x14ac:dyDescent="0.25">
      <c r="B96" s="37"/>
      <c r="C96" s="37"/>
      <c r="D96" s="11"/>
      <c r="E96" s="11"/>
      <c r="F96" s="11"/>
      <c r="G96" s="11"/>
      <c r="H96" s="35"/>
      <c r="I96" s="35"/>
      <c r="J96" s="35"/>
      <c r="K96" s="35"/>
      <c r="L96" s="35"/>
      <c r="M96" s="35"/>
      <c r="N96" s="35"/>
      <c r="O96" s="11"/>
    </row>
    <row r="97" spans="1:15" s="26" customFormat="1" hidden="1" outlineLevel="1" x14ac:dyDescent="0.25">
      <c r="B97" s="37"/>
      <c r="C97" s="37"/>
      <c r="D97" s="11"/>
      <c r="E97" s="11"/>
      <c r="F97" s="11"/>
      <c r="G97" s="11"/>
      <c r="H97" s="35"/>
      <c r="I97" s="35"/>
      <c r="J97" s="35"/>
      <c r="K97" s="35"/>
      <c r="L97" s="35"/>
      <c r="M97" s="35"/>
      <c r="N97" s="35"/>
      <c r="O97" s="11"/>
    </row>
    <row r="98" spans="1:15" s="26" customFormat="1" hidden="1" outlineLevel="1" x14ac:dyDescent="0.25">
      <c r="B98" s="37"/>
      <c r="C98" s="37"/>
      <c r="D98" s="11"/>
      <c r="E98" s="11"/>
      <c r="F98" s="11"/>
      <c r="G98" s="11"/>
      <c r="H98" s="35"/>
      <c r="I98" s="35"/>
      <c r="J98" s="35"/>
      <c r="K98" s="35"/>
      <c r="L98" s="35"/>
      <c r="M98" s="35"/>
      <c r="N98" s="35"/>
      <c r="O98" s="11"/>
    </row>
    <row r="99" spans="1:15" s="26" customFormat="1" hidden="1" outlineLevel="1" x14ac:dyDescent="0.25">
      <c r="B99" s="37"/>
      <c r="C99" s="37"/>
      <c r="D99" s="11"/>
      <c r="E99" s="11"/>
      <c r="F99" s="11"/>
      <c r="G99" s="11"/>
      <c r="H99" s="35"/>
      <c r="I99" s="35"/>
      <c r="J99" s="35"/>
      <c r="K99" s="35"/>
      <c r="L99" s="35"/>
      <c r="M99" s="35"/>
      <c r="N99" s="35"/>
      <c r="O99" s="11"/>
    </row>
    <row r="100" spans="1:15" s="26" customFormat="1" hidden="1" outlineLevel="1" x14ac:dyDescent="0.25">
      <c r="B100" s="37"/>
      <c r="C100" s="37"/>
      <c r="D100" s="11"/>
      <c r="E100" s="11"/>
      <c r="F100" s="11"/>
      <c r="G100" s="11"/>
      <c r="H100" s="35"/>
      <c r="I100" s="35"/>
      <c r="J100" s="35"/>
      <c r="K100" s="35"/>
      <c r="L100" s="35"/>
      <c r="M100" s="35"/>
      <c r="N100" s="35"/>
      <c r="O100" s="11"/>
    </row>
    <row r="101" spans="1:15" s="26" customFormat="1" hidden="1" outlineLevel="1" x14ac:dyDescent="0.25">
      <c r="B101" s="37"/>
      <c r="C101" s="37"/>
      <c r="D101" s="11"/>
      <c r="E101" s="11"/>
      <c r="F101" s="11"/>
      <c r="G101" s="11"/>
      <c r="H101" s="35"/>
      <c r="I101" s="35"/>
      <c r="J101" s="35"/>
      <c r="K101" s="35"/>
      <c r="L101" s="35"/>
      <c r="M101" s="35"/>
      <c r="N101" s="35"/>
      <c r="O101" s="11"/>
    </row>
    <row r="102" spans="1:15" s="26" customFormat="1" hidden="1" outlineLevel="1" x14ac:dyDescent="0.25">
      <c r="B102" s="37"/>
      <c r="C102" s="37"/>
      <c r="D102" s="11"/>
      <c r="E102" s="11"/>
      <c r="F102" s="11"/>
      <c r="G102" s="11"/>
      <c r="H102" s="35"/>
      <c r="I102" s="35"/>
      <c r="J102" s="35"/>
      <c r="K102" s="35"/>
      <c r="L102" s="35"/>
      <c r="M102" s="35"/>
      <c r="N102" s="35"/>
      <c r="O102" s="11"/>
    </row>
    <row r="103" spans="1:15" s="26" customFormat="1" hidden="1" outlineLevel="1" x14ac:dyDescent="0.25">
      <c r="B103" s="37"/>
      <c r="C103" s="37"/>
      <c r="D103" s="11"/>
      <c r="E103" s="11"/>
      <c r="F103" s="11"/>
      <c r="G103" s="11"/>
      <c r="H103" s="35"/>
      <c r="I103" s="35"/>
      <c r="J103" s="35"/>
      <c r="K103" s="35"/>
      <c r="L103" s="35"/>
      <c r="M103" s="35"/>
      <c r="N103" s="35"/>
      <c r="O103" s="11"/>
    </row>
    <row r="104" spans="1:15" s="26" customFormat="1" hidden="1" outlineLevel="1" x14ac:dyDescent="0.25">
      <c r="B104" s="37"/>
      <c r="C104" s="37"/>
      <c r="D104" s="11"/>
      <c r="E104" s="11"/>
      <c r="F104" s="11"/>
      <c r="G104" s="11"/>
      <c r="H104" s="35"/>
      <c r="I104" s="35"/>
      <c r="J104" s="35"/>
      <c r="K104" s="35"/>
      <c r="L104" s="35"/>
      <c r="M104" s="35"/>
      <c r="N104" s="35"/>
      <c r="O104" s="11"/>
    </row>
    <row r="105" spans="1:15" s="26" customFormat="1" hidden="1" outlineLevel="1" x14ac:dyDescent="0.25">
      <c r="B105" s="37"/>
      <c r="C105" s="37"/>
      <c r="D105" s="11"/>
      <c r="E105" s="11"/>
      <c r="F105" s="11"/>
      <c r="G105" s="11"/>
      <c r="H105" s="35"/>
      <c r="I105" s="35"/>
      <c r="J105" s="35"/>
      <c r="K105" s="35"/>
      <c r="L105" s="35"/>
      <c r="M105" s="35"/>
      <c r="N105" s="35"/>
      <c r="O105" s="11"/>
    </row>
    <row r="106" spans="1:15" s="26" customFormat="1" hidden="1" outlineLevel="1" x14ac:dyDescent="0.25">
      <c r="B106" s="37"/>
      <c r="C106" s="37"/>
      <c r="D106" s="11"/>
      <c r="E106" s="11"/>
      <c r="F106" s="11"/>
      <c r="G106" s="11"/>
      <c r="H106" s="35"/>
      <c r="I106" s="35"/>
      <c r="J106" s="35"/>
      <c r="K106" s="35"/>
      <c r="L106" s="35"/>
      <c r="M106" s="35"/>
      <c r="N106" s="35"/>
      <c r="O106" s="11"/>
    </row>
    <row r="107" spans="1:15" s="26" customFormat="1" hidden="1" outlineLevel="1" x14ac:dyDescent="0.25">
      <c r="B107" s="37"/>
      <c r="C107" s="37"/>
      <c r="D107" s="11"/>
      <c r="E107" s="11"/>
      <c r="F107" s="11"/>
      <c r="G107" s="11"/>
      <c r="H107" s="35"/>
      <c r="I107" s="35"/>
      <c r="J107" s="35"/>
      <c r="K107" s="35"/>
      <c r="L107" s="35"/>
      <c r="M107" s="35"/>
      <c r="N107" s="35"/>
      <c r="O107" s="11"/>
    </row>
    <row r="108" spans="1:15" s="26" customFormat="1" hidden="1" outlineLevel="1" x14ac:dyDescent="0.25">
      <c r="B108" s="37"/>
      <c r="C108" s="37"/>
      <c r="D108" s="11"/>
      <c r="E108" s="11"/>
      <c r="F108" s="11"/>
      <c r="G108" s="11"/>
      <c r="H108" s="35"/>
      <c r="I108" s="35"/>
      <c r="J108" s="35"/>
      <c r="K108" s="35"/>
      <c r="L108" s="35"/>
      <c r="M108" s="35"/>
      <c r="N108" s="35"/>
      <c r="O108" s="11"/>
    </row>
    <row r="109" spans="1:15" s="26" customFormat="1" hidden="1" outlineLevel="1" x14ac:dyDescent="0.25">
      <c r="B109" s="37"/>
      <c r="C109" s="37"/>
      <c r="D109" s="11"/>
      <c r="E109" s="11"/>
      <c r="F109" s="11"/>
      <c r="G109" s="11"/>
      <c r="H109" s="35"/>
      <c r="I109" s="35"/>
      <c r="J109" s="35"/>
      <c r="K109" s="35"/>
      <c r="L109" s="35"/>
      <c r="M109" s="35"/>
      <c r="N109" s="35"/>
      <c r="O109" s="11"/>
    </row>
    <row r="110" spans="1:15" s="26" customFormat="1" hidden="1" outlineLevel="1" x14ac:dyDescent="0.25">
      <c r="B110" s="37"/>
      <c r="C110" s="37"/>
      <c r="D110" s="11"/>
      <c r="E110" s="11"/>
      <c r="F110" s="11"/>
      <c r="G110" s="11"/>
      <c r="H110" s="35"/>
      <c r="I110" s="35"/>
      <c r="J110" s="35"/>
      <c r="K110" s="35"/>
      <c r="L110" s="35"/>
      <c r="M110" s="35"/>
      <c r="N110" s="35"/>
      <c r="O110" s="11"/>
    </row>
    <row r="111" spans="1:15" s="26" customFormat="1" collapsed="1" x14ac:dyDescent="0.25"/>
    <row r="112" spans="1:15" s="59" customFormat="1" x14ac:dyDescent="0.25">
      <c r="A112" s="58"/>
      <c r="B112" s="59" t="s">
        <v>184</v>
      </c>
    </row>
    <row r="113" spans="2:18" s="26" customFormat="1" x14ac:dyDescent="0.25"/>
    <row r="114" spans="2:18" s="26" customFormat="1" ht="16.5" customHeight="1" x14ac:dyDescent="0.3">
      <c r="B114" s="47" t="s">
        <v>185</v>
      </c>
      <c r="C114" s="47" t="s">
        <v>113</v>
      </c>
      <c r="D114" s="47" t="s">
        <v>114</v>
      </c>
      <c r="E114" s="47" t="s">
        <v>115</v>
      </c>
      <c r="F114" s="47" t="s">
        <v>116</v>
      </c>
      <c r="G114" s="47" t="s">
        <v>117</v>
      </c>
      <c r="H114" s="47" t="s">
        <v>186</v>
      </c>
      <c r="I114" s="47" t="s">
        <v>187</v>
      </c>
      <c r="J114" s="47" t="s">
        <v>177</v>
      </c>
      <c r="K114" s="47" t="s">
        <v>188</v>
      </c>
      <c r="L114" s="47" t="s">
        <v>189</v>
      </c>
      <c r="M114" s="47" t="s">
        <v>190</v>
      </c>
      <c r="N114" s="47" t="s">
        <v>191</v>
      </c>
      <c r="O114" s="47" t="s">
        <v>192</v>
      </c>
      <c r="P114" s="47" t="s">
        <v>193</v>
      </c>
      <c r="Q114" s="47" t="s">
        <v>146</v>
      </c>
      <c r="R114" s="47" t="s">
        <v>194</v>
      </c>
    </row>
    <row r="115" spans="2:18" s="26" customFormat="1" hidden="1" x14ac:dyDescent="0.25">
      <c r="B115" s="37"/>
      <c r="C115" s="36"/>
      <c r="D115" s="11"/>
      <c r="E115" s="11"/>
      <c r="F115" s="11"/>
      <c r="G115" s="11"/>
      <c r="H115" s="35" t="s">
        <v>195</v>
      </c>
      <c r="I115" s="35" t="s">
        <v>154</v>
      </c>
      <c r="J115" s="35">
        <v>2</v>
      </c>
      <c r="K115" s="35">
        <v>20000</v>
      </c>
      <c r="L115" s="35">
        <v>12</v>
      </c>
      <c r="M115" s="35">
        <v>0.3</v>
      </c>
      <c r="N115" s="35" t="s">
        <v>196</v>
      </c>
      <c r="O115" s="35">
        <v>400</v>
      </c>
      <c r="P115" s="35">
        <v>400</v>
      </c>
      <c r="Q115" s="35" t="s">
        <v>104</v>
      </c>
      <c r="R115" s="35" t="s">
        <v>104</v>
      </c>
    </row>
    <row r="116" spans="2:18" s="26" customFormat="1" hidden="1" x14ac:dyDescent="0.25">
      <c r="B116" s="37"/>
      <c r="C116" s="36"/>
      <c r="D116" s="11"/>
      <c r="E116" s="11"/>
      <c r="F116" s="11"/>
      <c r="G116" s="11"/>
      <c r="H116" s="35" t="s">
        <v>195</v>
      </c>
      <c r="I116" s="35" t="s">
        <v>154</v>
      </c>
      <c r="J116" s="35">
        <v>2</v>
      </c>
      <c r="K116" s="35">
        <v>20000</v>
      </c>
      <c r="L116" s="35">
        <v>12</v>
      </c>
      <c r="M116" s="35">
        <v>0.35</v>
      </c>
      <c r="N116" s="35" t="s">
        <v>196</v>
      </c>
      <c r="O116" s="35">
        <v>400</v>
      </c>
      <c r="P116" s="35">
        <v>400</v>
      </c>
      <c r="Q116" s="35" t="s">
        <v>104</v>
      </c>
      <c r="R116" s="35" t="s">
        <v>104</v>
      </c>
    </row>
    <row r="117" spans="2:18" s="26" customFormat="1" hidden="1" x14ac:dyDescent="0.25">
      <c r="B117" s="37"/>
      <c r="C117" s="37"/>
      <c r="D117" s="11"/>
      <c r="E117" s="11"/>
      <c r="F117" s="11"/>
      <c r="G117" s="11"/>
      <c r="H117" s="35"/>
      <c r="I117" s="35"/>
      <c r="J117" s="35"/>
      <c r="K117" s="35"/>
      <c r="L117" s="35"/>
      <c r="M117" s="35"/>
      <c r="N117" s="35"/>
      <c r="O117" s="35"/>
      <c r="P117" s="35"/>
      <c r="Q117" s="35"/>
      <c r="R117" s="35"/>
    </row>
    <row r="118" spans="2:18" s="26" customFormat="1" hidden="1" outlineLevel="1" x14ac:dyDescent="0.25">
      <c r="B118" s="37"/>
      <c r="C118" s="37"/>
      <c r="D118" s="11"/>
      <c r="E118" s="11"/>
      <c r="F118" s="11"/>
      <c r="G118" s="11"/>
      <c r="H118" s="35"/>
      <c r="I118" s="35"/>
      <c r="J118" s="35"/>
      <c r="K118" s="35"/>
      <c r="L118" s="35"/>
      <c r="M118" s="35"/>
      <c r="N118" s="35"/>
      <c r="O118" s="35"/>
      <c r="P118" s="35"/>
      <c r="Q118" s="35"/>
      <c r="R118" s="35"/>
    </row>
    <row r="119" spans="2:18" s="26" customFormat="1" hidden="1" outlineLevel="1" x14ac:dyDescent="0.25">
      <c r="B119" s="37"/>
      <c r="C119" s="37"/>
      <c r="D119" s="11"/>
      <c r="E119" s="11"/>
      <c r="F119" s="11"/>
      <c r="G119" s="11"/>
      <c r="H119" s="35"/>
      <c r="I119" s="35"/>
      <c r="J119" s="35"/>
      <c r="K119" s="35"/>
      <c r="L119" s="35"/>
      <c r="M119" s="35"/>
      <c r="N119" s="35"/>
      <c r="O119" s="35"/>
      <c r="P119" s="35"/>
      <c r="Q119" s="35"/>
      <c r="R119" s="35"/>
    </row>
    <row r="120" spans="2:18" s="26" customFormat="1" hidden="1" outlineLevel="1" x14ac:dyDescent="0.25">
      <c r="B120" s="37"/>
      <c r="C120" s="37"/>
      <c r="D120" s="11"/>
      <c r="E120" s="11"/>
      <c r="F120" s="11"/>
      <c r="G120" s="11"/>
      <c r="H120" s="35"/>
      <c r="I120" s="35"/>
      <c r="J120" s="35"/>
      <c r="K120" s="35"/>
      <c r="L120" s="35"/>
      <c r="M120" s="35"/>
      <c r="N120" s="35"/>
      <c r="O120" s="35"/>
      <c r="P120" s="35"/>
      <c r="Q120" s="35"/>
      <c r="R120" s="35"/>
    </row>
    <row r="121" spans="2:18" s="26" customFormat="1" hidden="1" outlineLevel="1" x14ac:dyDescent="0.25">
      <c r="B121" s="37"/>
      <c r="C121" s="37"/>
      <c r="D121" s="11"/>
      <c r="E121" s="11"/>
      <c r="F121" s="11"/>
      <c r="G121" s="11"/>
      <c r="H121" s="35"/>
      <c r="I121" s="35"/>
      <c r="J121" s="35"/>
      <c r="K121" s="35"/>
      <c r="L121" s="35"/>
      <c r="M121" s="35"/>
      <c r="N121" s="35"/>
      <c r="O121" s="35"/>
      <c r="P121" s="35"/>
      <c r="Q121" s="35"/>
      <c r="R121" s="35"/>
    </row>
    <row r="122" spans="2:18" s="26" customFormat="1" hidden="1" outlineLevel="1" x14ac:dyDescent="0.25">
      <c r="B122" s="37"/>
      <c r="C122" s="37"/>
      <c r="D122" s="11"/>
      <c r="E122" s="11"/>
      <c r="F122" s="11"/>
      <c r="G122" s="11"/>
      <c r="H122" s="35"/>
      <c r="I122" s="35"/>
      <c r="J122" s="35"/>
      <c r="K122" s="35"/>
      <c r="L122" s="35"/>
      <c r="M122" s="35"/>
      <c r="N122" s="35"/>
      <c r="O122" s="35"/>
      <c r="P122" s="35"/>
      <c r="Q122" s="35"/>
      <c r="R122" s="35"/>
    </row>
    <row r="123" spans="2:18" s="26" customFormat="1" hidden="1" outlineLevel="1" x14ac:dyDescent="0.25">
      <c r="B123" s="37"/>
      <c r="C123" s="37"/>
      <c r="D123" s="11"/>
      <c r="E123" s="11"/>
      <c r="F123" s="11"/>
      <c r="G123" s="11"/>
      <c r="H123" s="35"/>
      <c r="I123" s="35"/>
      <c r="J123" s="35"/>
      <c r="K123" s="35"/>
      <c r="L123" s="35"/>
      <c r="M123" s="35"/>
      <c r="N123" s="35"/>
      <c r="O123" s="35"/>
      <c r="P123" s="35"/>
      <c r="Q123" s="35"/>
      <c r="R123" s="35"/>
    </row>
    <row r="124" spans="2:18" s="26" customFormat="1" hidden="1" outlineLevel="1" x14ac:dyDescent="0.25">
      <c r="B124" s="37"/>
      <c r="C124" s="37"/>
      <c r="D124" s="11"/>
      <c r="E124" s="11"/>
      <c r="F124" s="11"/>
      <c r="G124" s="11"/>
      <c r="H124" s="35"/>
      <c r="I124" s="35"/>
      <c r="J124" s="35"/>
      <c r="K124" s="35"/>
      <c r="L124" s="35"/>
      <c r="M124" s="35"/>
      <c r="N124" s="35"/>
      <c r="O124" s="35"/>
      <c r="P124" s="35"/>
      <c r="Q124" s="35"/>
      <c r="R124" s="35"/>
    </row>
    <row r="125" spans="2:18" s="26" customFormat="1" hidden="1" outlineLevel="1" x14ac:dyDescent="0.25">
      <c r="B125" s="37"/>
      <c r="C125" s="37"/>
      <c r="D125" s="11"/>
      <c r="E125" s="11"/>
      <c r="F125" s="11"/>
      <c r="G125" s="11"/>
      <c r="H125" s="35"/>
      <c r="I125" s="35"/>
      <c r="J125" s="35"/>
      <c r="K125" s="35"/>
      <c r="L125" s="35"/>
      <c r="M125" s="35"/>
      <c r="N125" s="35"/>
      <c r="O125" s="35"/>
      <c r="P125" s="35"/>
      <c r="Q125" s="35"/>
      <c r="R125" s="35"/>
    </row>
    <row r="126" spans="2:18" s="26" customFormat="1" hidden="1" outlineLevel="1" x14ac:dyDescent="0.25">
      <c r="B126" s="37"/>
      <c r="C126" s="37"/>
      <c r="D126" s="11"/>
      <c r="E126" s="11"/>
      <c r="F126" s="11"/>
      <c r="G126" s="11"/>
      <c r="H126" s="35"/>
      <c r="I126" s="35"/>
      <c r="J126" s="35"/>
      <c r="K126" s="35"/>
      <c r="L126" s="35"/>
      <c r="M126" s="35"/>
      <c r="N126" s="35"/>
      <c r="O126" s="35"/>
      <c r="P126" s="35"/>
      <c r="Q126" s="35"/>
      <c r="R126" s="35"/>
    </row>
    <row r="127" spans="2:18" s="26" customFormat="1" hidden="1" outlineLevel="1" x14ac:dyDescent="0.25">
      <c r="B127" s="37"/>
      <c r="C127" s="37"/>
      <c r="D127" s="11"/>
      <c r="E127" s="11"/>
      <c r="F127" s="11"/>
      <c r="G127" s="11"/>
      <c r="H127" s="35"/>
      <c r="I127" s="35"/>
      <c r="J127" s="35"/>
      <c r="K127" s="35"/>
      <c r="L127" s="35"/>
      <c r="M127" s="35"/>
      <c r="N127" s="35"/>
      <c r="O127" s="35"/>
      <c r="P127" s="35"/>
      <c r="Q127" s="35"/>
      <c r="R127" s="35"/>
    </row>
    <row r="128" spans="2:18" s="26" customFormat="1" hidden="1" outlineLevel="1" x14ac:dyDescent="0.25">
      <c r="B128" s="37"/>
      <c r="C128" s="37"/>
      <c r="D128" s="11"/>
      <c r="E128" s="11"/>
      <c r="F128" s="11"/>
      <c r="G128" s="11"/>
      <c r="H128" s="35"/>
      <c r="I128" s="35"/>
      <c r="J128" s="35"/>
      <c r="K128" s="35"/>
      <c r="L128" s="35"/>
      <c r="M128" s="35"/>
      <c r="N128" s="35"/>
      <c r="O128" s="35"/>
      <c r="P128" s="35"/>
      <c r="Q128" s="35"/>
      <c r="R128" s="35"/>
    </row>
    <row r="129" spans="2:18" s="26" customFormat="1" hidden="1" outlineLevel="1" x14ac:dyDescent="0.25">
      <c r="B129" s="37"/>
      <c r="C129" s="37"/>
      <c r="D129" s="11"/>
      <c r="E129" s="11"/>
      <c r="F129" s="11"/>
      <c r="G129" s="11"/>
      <c r="H129" s="35"/>
      <c r="I129" s="35"/>
      <c r="J129" s="35"/>
      <c r="K129" s="35"/>
      <c r="L129" s="35"/>
      <c r="M129" s="35"/>
      <c r="N129" s="35"/>
      <c r="O129" s="35"/>
      <c r="P129" s="35"/>
      <c r="Q129" s="35"/>
      <c r="R129" s="35"/>
    </row>
    <row r="130" spans="2:18" s="26" customFormat="1" hidden="1" outlineLevel="1" x14ac:dyDescent="0.25">
      <c r="B130" s="37"/>
      <c r="C130" s="37"/>
      <c r="D130" s="11"/>
      <c r="E130" s="11"/>
      <c r="F130" s="11"/>
      <c r="G130" s="11"/>
      <c r="H130" s="35"/>
      <c r="I130" s="35"/>
      <c r="J130" s="35"/>
      <c r="K130" s="35"/>
      <c r="L130" s="35"/>
      <c r="M130" s="35"/>
      <c r="N130" s="35"/>
      <c r="O130" s="35"/>
      <c r="P130" s="35"/>
      <c r="Q130" s="35"/>
      <c r="R130" s="35"/>
    </row>
    <row r="131" spans="2:18" s="26" customFormat="1" hidden="1" outlineLevel="1" x14ac:dyDescent="0.25">
      <c r="B131" s="37"/>
      <c r="C131" s="37"/>
      <c r="D131" s="11"/>
      <c r="E131" s="11"/>
      <c r="F131" s="11"/>
      <c r="G131" s="11"/>
      <c r="H131" s="35"/>
      <c r="I131" s="35"/>
      <c r="J131" s="35"/>
      <c r="K131" s="35"/>
      <c r="L131" s="35"/>
      <c r="M131" s="35"/>
      <c r="N131" s="35"/>
      <c r="O131" s="35"/>
      <c r="P131" s="35"/>
      <c r="Q131" s="35"/>
      <c r="R131" s="35"/>
    </row>
    <row r="132" spans="2:18" s="26" customFormat="1" hidden="1" outlineLevel="1" x14ac:dyDescent="0.25">
      <c r="B132" s="37"/>
      <c r="C132" s="37"/>
      <c r="D132" s="11"/>
      <c r="E132" s="11"/>
      <c r="F132" s="11"/>
      <c r="G132" s="11"/>
      <c r="H132" s="35"/>
      <c r="I132" s="35"/>
      <c r="J132" s="35"/>
      <c r="K132" s="35"/>
      <c r="L132" s="35"/>
      <c r="M132" s="35"/>
      <c r="N132" s="35"/>
      <c r="O132" s="35"/>
      <c r="P132" s="35"/>
      <c r="Q132" s="35"/>
      <c r="R132" s="35"/>
    </row>
    <row r="133" spans="2:18" s="26" customFormat="1" hidden="1" outlineLevel="1" x14ac:dyDescent="0.25">
      <c r="B133" s="37"/>
      <c r="C133" s="37"/>
      <c r="D133" s="11"/>
      <c r="E133" s="11"/>
      <c r="F133" s="11"/>
      <c r="G133" s="11"/>
      <c r="H133" s="35"/>
      <c r="I133" s="35"/>
      <c r="J133" s="35"/>
      <c r="K133" s="35"/>
      <c r="L133" s="35"/>
      <c r="M133" s="35"/>
      <c r="N133" s="35"/>
      <c r="O133" s="35"/>
      <c r="P133" s="35"/>
      <c r="Q133" s="35"/>
      <c r="R133" s="35"/>
    </row>
    <row r="134" spans="2:18" s="26" customFormat="1" hidden="1" outlineLevel="1" x14ac:dyDescent="0.25">
      <c r="B134" s="37"/>
      <c r="C134" s="37"/>
      <c r="D134" s="11"/>
      <c r="E134" s="11"/>
      <c r="F134" s="11"/>
      <c r="G134" s="11"/>
      <c r="H134" s="35"/>
      <c r="I134" s="35"/>
      <c r="J134" s="35"/>
      <c r="K134" s="35"/>
      <c r="L134" s="35"/>
      <c r="M134" s="35"/>
      <c r="N134" s="35"/>
      <c r="O134" s="35"/>
      <c r="P134" s="35"/>
      <c r="Q134" s="35"/>
      <c r="R134" s="35"/>
    </row>
    <row r="135" spans="2:18" collapsed="1" x14ac:dyDescent="0.25"/>
    <row r="136" spans="2:18" s="58" customFormat="1" x14ac:dyDescent="0.25">
      <c r="B136" s="58" t="s">
        <v>197</v>
      </c>
    </row>
    <row r="138" spans="2:18" ht="16.5" customHeight="1" x14ac:dyDescent="0.3">
      <c r="B138" s="47" t="s">
        <v>174</v>
      </c>
      <c r="C138" s="47" t="s">
        <v>113</v>
      </c>
      <c r="D138" s="47" t="s">
        <v>114</v>
      </c>
      <c r="E138" s="47" t="s">
        <v>115</v>
      </c>
      <c r="F138" s="47" t="s">
        <v>116</v>
      </c>
      <c r="G138" s="47" t="s">
        <v>117</v>
      </c>
      <c r="H138" s="47" t="s">
        <v>175</v>
      </c>
      <c r="I138" s="47" t="s">
        <v>176</v>
      </c>
      <c r="J138" s="47" t="s">
        <v>177</v>
      </c>
      <c r="K138" s="47" t="s">
        <v>178</v>
      </c>
      <c r="L138" s="47" t="s">
        <v>179</v>
      </c>
      <c r="M138" s="47" t="s">
        <v>180</v>
      </c>
      <c r="N138" s="47" t="s">
        <v>181</v>
      </c>
      <c r="O138" s="47" t="s">
        <v>182</v>
      </c>
    </row>
    <row r="139" spans="2:18" hidden="1" x14ac:dyDescent="0.25">
      <c r="B139" s="37"/>
      <c r="C139" s="36"/>
      <c r="D139" s="11"/>
      <c r="E139" s="11"/>
      <c r="F139" s="11"/>
      <c r="G139" s="11"/>
      <c r="H139" s="35" t="s">
        <v>198</v>
      </c>
      <c r="I139" s="35" t="s">
        <v>154</v>
      </c>
      <c r="J139" s="35">
        <v>3</v>
      </c>
      <c r="K139" s="35">
        <v>210000</v>
      </c>
      <c r="L139" s="35">
        <v>0.06</v>
      </c>
      <c r="M139" s="35" t="s">
        <v>104</v>
      </c>
      <c r="N139" s="35" t="s">
        <v>104</v>
      </c>
      <c r="O139" s="11">
        <v>12600000</v>
      </c>
    </row>
    <row r="140" spans="2:18" hidden="1" x14ac:dyDescent="0.25">
      <c r="B140" s="37"/>
      <c r="C140" s="37"/>
      <c r="D140" s="11"/>
      <c r="E140" s="11"/>
      <c r="F140" s="11"/>
      <c r="G140" s="11"/>
      <c r="H140" s="35"/>
      <c r="I140" s="35"/>
      <c r="J140" s="35"/>
      <c r="K140" s="35"/>
      <c r="L140" s="35"/>
      <c r="M140" s="35"/>
      <c r="N140" s="35"/>
      <c r="O140" s="11">
        <v>12600000</v>
      </c>
    </row>
    <row r="141" spans="2:18" hidden="1" x14ac:dyDescent="0.25">
      <c r="B141" s="37"/>
      <c r="C141" s="37"/>
      <c r="D141" s="11"/>
      <c r="E141" s="11"/>
      <c r="F141" s="11"/>
      <c r="G141" s="11"/>
      <c r="H141" s="35"/>
      <c r="I141" s="35"/>
      <c r="J141" s="35"/>
      <c r="K141" s="35"/>
      <c r="L141" s="35"/>
      <c r="M141" s="35"/>
      <c r="N141" s="35"/>
      <c r="O141" s="11">
        <v>12600000</v>
      </c>
    </row>
    <row r="142" spans="2:18" hidden="1" outlineLevel="1" x14ac:dyDescent="0.25">
      <c r="B142" s="37"/>
      <c r="C142" s="37"/>
      <c r="D142" s="11"/>
      <c r="E142" s="11"/>
      <c r="F142" s="11"/>
      <c r="G142" s="11"/>
      <c r="H142" s="35"/>
      <c r="I142" s="35"/>
      <c r="J142" s="35"/>
      <c r="K142" s="35"/>
      <c r="L142" s="35"/>
      <c r="M142" s="35"/>
      <c r="N142" s="35"/>
      <c r="O142" s="11">
        <v>12600000</v>
      </c>
    </row>
    <row r="143" spans="2:18" hidden="1" outlineLevel="1" x14ac:dyDescent="0.25">
      <c r="B143" s="37"/>
      <c r="C143" s="37"/>
      <c r="D143" s="11"/>
      <c r="E143" s="11"/>
      <c r="F143" s="11"/>
      <c r="G143" s="11"/>
      <c r="H143" s="35"/>
      <c r="I143" s="35"/>
      <c r="J143" s="35"/>
      <c r="K143" s="35"/>
      <c r="L143" s="35"/>
      <c r="M143" s="35"/>
      <c r="N143" s="35"/>
      <c r="O143" s="11">
        <v>12600000</v>
      </c>
    </row>
    <row r="144" spans="2:18" hidden="1" outlineLevel="1" x14ac:dyDescent="0.25">
      <c r="B144" s="37"/>
      <c r="C144" s="37"/>
      <c r="D144" s="11"/>
      <c r="E144" s="11"/>
      <c r="F144" s="11"/>
      <c r="G144" s="11"/>
      <c r="H144" s="35"/>
      <c r="I144" s="35"/>
      <c r="J144" s="35"/>
      <c r="K144" s="35"/>
      <c r="L144" s="35"/>
      <c r="M144" s="35"/>
      <c r="N144" s="35"/>
      <c r="O144" s="11">
        <v>12600000</v>
      </c>
    </row>
    <row r="145" spans="2:15" hidden="1" outlineLevel="1" x14ac:dyDescent="0.25">
      <c r="B145" s="37"/>
      <c r="C145" s="37"/>
      <c r="D145" s="11"/>
      <c r="E145" s="11"/>
      <c r="F145" s="11"/>
      <c r="G145" s="11"/>
      <c r="H145" s="35"/>
      <c r="I145" s="35"/>
      <c r="J145" s="35"/>
      <c r="K145" s="35"/>
      <c r="L145" s="35"/>
      <c r="M145" s="35"/>
      <c r="N145" s="35"/>
      <c r="O145" s="11"/>
    </row>
    <row r="146" spans="2:15" hidden="1" outlineLevel="1" x14ac:dyDescent="0.25">
      <c r="B146" s="37"/>
      <c r="C146" s="37"/>
      <c r="D146" s="11"/>
      <c r="E146" s="11"/>
      <c r="F146" s="11"/>
      <c r="G146" s="11"/>
      <c r="H146" s="35"/>
      <c r="I146" s="35"/>
      <c r="J146" s="35"/>
      <c r="K146" s="35"/>
      <c r="L146" s="35"/>
      <c r="M146" s="35"/>
      <c r="N146" s="35"/>
      <c r="O146" s="11"/>
    </row>
    <row r="147" spans="2:15" hidden="1" outlineLevel="1" x14ac:dyDescent="0.25">
      <c r="B147" s="37"/>
      <c r="C147" s="37"/>
      <c r="D147" s="11"/>
      <c r="E147" s="11"/>
      <c r="F147" s="11"/>
      <c r="G147" s="11"/>
      <c r="H147" s="35"/>
      <c r="I147" s="35"/>
      <c r="J147" s="35"/>
      <c r="K147" s="35"/>
      <c r="L147" s="35"/>
      <c r="M147" s="35"/>
      <c r="N147" s="35"/>
      <c r="O147" s="11"/>
    </row>
    <row r="148" spans="2:15" hidden="1" outlineLevel="1" x14ac:dyDescent="0.25">
      <c r="B148" s="37"/>
      <c r="C148" s="37"/>
      <c r="D148" s="11"/>
      <c r="E148" s="11"/>
      <c r="F148" s="11"/>
      <c r="G148" s="11"/>
      <c r="H148" s="35"/>
      <c r="I148" s="35"/>
      <c r="J148" s="35"/>
      <c r="K148" s="35"/>
      <c r="L148" s="35"/>
      <c r="M148" s="35"/>
      <c r="N148" s="35"/>
      <c r="O148" s="11"/>
    </row>
    <row r="149" spans="2:15" hidden="1" outlineLevel="1" x14ac:dyDescent="0.25">
      <c r="B149" s="37"/>
      <c r="C149" s="37"/>
      <c r="D149" s="11"/>
      <c r="E149" s="11"/>
      <c r="F149" s="11"/>
      <c r="G149" s="11"/>
      <c r="H149" s="35"/>
      <c r="I149" s="35"/>
      <c r="J149" s="35"/>
      <c r="K149" s="35"/>
      <c r="L149" s="35"/>
      <c r="M149" s="35"/>
      <c r="N149" s="35"/>
      <c r="O149" s="11"/>
    </row>
    <row r="150" spans="2:15" hidden="1" outlineLevel="1" x14ac:dyDescent="0.25">
      <c r="B150" s="37"/>
      <c r="C150" s="37"/>
      <c r="D150" s="11"/>
      <c r="E150" s="11"/>
      <c r="F150" s="11"/>
      <c r="G150" s="11"/>
      <c r="H150" s="35"/>
      <c r="I150" s="35"/>
      <c r="J150" s="35"/>
      <c r="K150" s="35"/>
      <c r="L150" s="35"/>
      <c r="M150" s="35"/>
      <c r="N150" s="35"/>
      <c r="O150" s="11"/>
    </row>
    <row r="151" spans="2:15" hidden="1" outlineLevel="1" x14ac:dyDescent="0.25">
      <c r="B151" s="37"/>
      <c r="C151" s="37"/>
      <c r="D151" s="11"/>
      <c r="E151" s="11"/>
      <c r="F151" s="11"/>
      <c r="G151" s="11"/>
      <c r="H151" s="35"/>
      <c r="I151" s="35"/>
      <c r="J151" s="35"/>
      <c r="K151" s="35"/>
      <c r="L151" s="35"/>
      <c r="M151" s="35"/>
      <c r="N151" s="35"/>
      <c r="O151" s="11"/>
    </row>
    <row r="152" spans="2:15" hidden="1" outlineLevel="1" x14ac:dyDescent="0.25">
      <c r="B152" s="37"/>
      <c r="C152" s="37"/>
      <c r="D152" s="11"/>
      <c r="E152" s="11"/>
      <c r="F152" s="11"/>
      <c r="G152" s="11"/>
      <c r="H152" s="35"/>
      <c r="I152" s="35"/>
      <c r="J152" s="35"/>
      <c r="K152" s="35"/>
      <c r="L152" s="35"/>
      <c r="M152" s="35"/>
      <c r="N152" s="35"/>
      <c r="O152" s="11"/>
    </row>
    <row r="153" spans="2:15" hidden="1" outlineLevel="1" x14ac:dyDescent="0.25">
      <c r="B153" s="37"/>
      <c r="C153" s="37"/>
      <c r="D153" s="11"/>
      <c r="E153" s="11"/>
      <c r="F153" s="11"/>
      <c r="G153" s="11"/>
      <c r="H153" s="35"/>
      <c r="I153" s="35"/>
      <c r="J153" s="35"/>
      <c r="K153" s="35"/>
      <c r="L153" s="35"/>
      <c r="M153" s="35"/>
      <c r="N153" s="35"/>
      <c r="O153" s="11"/>
    </row>
    <row r="154" spans="2:15" hidden="1" outlineLevel="1" x14ac:dyDescent="0.25">
      <c r="B154" s="37"/>
      <c r="C154" s="37"/>
      <c r="D154" s="11"/>
      <c r="E154" s="11"/>
      <c r="F154" s="11"/>
      <c r="G154" s="11"/>
      <c r="H154" s="35"/>
      <c r="I154" s="35"/>
      <c r="J154" s="35"/>
      <c r="K154" s="35"/>
      <c r="L154" s="35"/>
      <c r="M154" s="35"/>
      <c r="N154" s="35"/>
      <c r="O154" s="11"/>
    </row>
    <row r="155" spans="2:15" hidden="1" outlineLevel="1" x14ac:dyDescent="0.25">
      <c r="B155" s="37"/>
      <c r="C155" s="37"/>
      <c r="D155" s="11"/>
      <c r="E155" s="11"/>
      <c r="F155" s="11"/>
      <c r="G155" s="11"/>
      <c r="H155" s="35"/>
      <c r="I155" s="35"/>
      <c r="J155" s="35"/>
      <c r="K155" s="35"/>
      <c r="L155" s="35"/>
      <c r="M155" s="35"/>
      <c r="N155" s="35"/>
      <c r="O155" s="11"/>
    </row>
    <row r="156" spans="2:15" hidden="1" outlineLevel="1" x14ac:dyDescent="0.25">
      <c r="B156" s="37"/>
      <c r="C156" s="37"/>
      <c r="D156" s="11"/>
      <c r="E156" s="11"/>
      <c r="F156" s="11"/>
      <c r="G156" s="11"/>
      <c r="H156" s="35"/>
      <c r="I156" s="35"/>
      <c r="J156" s="35"/>
      <c r="K156" s="35"/>
      <c r="L156" s="35"/>
      <c r="M156" s="35"/>
      <c r="N156" s="35"/>
      <c r="O156" s="11"/>
    </row>
    <row r="157" spans="2:15" hidden="1" outlineLevel="1" x14ac:dyDescent="0.25">
      <c r="B157" s="37"/>
      <c r="C157" s="37"/>
      <c r="D157" s="11"/>
      <c r="E157" s="11"/>
      <c r="F157" s="11"/>
      <c r="G157" s="11"/>
      <c r="H157" s="35"/>
      <c r="I157" s="35"/>
      <c r="J157" s="35"/>
      <c r="K157" s="35"/>
      <c r="L157" s="35"/>
      <c r="M157" s="35"/>
      <c r="N157" s="35"/>
      <c r="O157" s="11"/>
    </row>
    <row r="158" spans="2:15" hidden="1" outlineLevel="1" x14ac:dyDescent="0.25">
      <c r="B158" s="37"/>
      <c r="C158" s="37"/>
      <c r="D158" s="11"/>
      <c r="E158" s="11"/>
      <c r="F158" s="11"/>
      <c r="G158" s="11"/>
      <c r="H158" s="35"/>
      <c r="I158" s="35"/>
      <c r="J158" s="35"/>
      <c r="K158" s="35"/>
      <c r="L158" s="35"/>
      <c r="M158" s="35"/>
      <c r="N158" s="35"/>
      <c r="O158" s="11"/>
    </row>
    <row r="159" spans="2:15" collapsed="1" x14ac:dyDescent="0.25"/>
    <row r="160" spans="2:15" s="58" customFormat="1" x14ac:dyDescent="0.25">
      <c r="B160" s="58" t="s">
        <v>199</v>
      </c>
    </row>
    <row r="162" spans="2:16" ht="16.5" customHeight="1" x14ac:dyDescent="0.3">
      <c r="B162" s="47" t="s">
        <v>200</v>
      </c>
      <c r="C162" s="47" t="s">
        <v>113</v>
      </c>
      <c r="D162" s="47" t="s">
        <v>114</v>
      </c>
      <c r="E162" s="47" t="s">
        <v>115</v>
      </c>
      <c r="F162" s="47" t="s">
        <v>116</v>
      </c>
      <c r="G162" s="47" t="s">
        <v>117</v>
      </c>
      <c r="H162" s="47" t="s">
        <v>201</v>
      </c>
      <c r="I162" s="47" t="s">
        <v>202</v>
      </c>
      <c r="J162" s="47" t="s">
        <v>177</v>
      </c>
      <c r="K162" s="47" t="s">
        <v>178</v>
      </c>
      <c r="L162" s="47" t="s">
        <v>179</v>
      </c>
      <c r="M162" s="47" t="s">
        <v>180</v>
      </c>
      <c r="N162" s="47" t="s">
        <v>181</v>
      </c>
      <c r="O162" s="47" t="s">
        <v>182</v>
      </c>
      <c r="P162" s="47" t="s">
        <v>203</v>
      </c>
    </row>
    <row r="163" spans="2:16" hidden="1" x14ac:dyDescent="0.25">
      <c r="B163" s="37"/>
      <c r="C163" s="36"/>
      <c r="D163" s="11"/>
      <c r="E163" s="11"/>
      <c r="F163" s="11"/>
      <c r="G163" s="11"/>
      <c r="H163" s="35" t="s">
        <v>204</v>
      </c>
      <c r="I163" s="35" t="s">
        <v>154</v>
      </c>
      <c r="J163" s="35">
        <v>3</v>
      </c>
      <c r="K163" s="35">
        <v>210000</v>
      </c>
      <c r="L163" s="35">
        <v>0.06</v>
      </c>
      <c r="M163" s="35" t="s">
        <v>104</v>
      </c>
      <c r="N163" s="35" t="s">
        <v>104</v>
      </c>
      <c r="O163" s="11">
        <v>12600000</v>
      </c>
      <c r="P163" s="60"/>
    </row>
    <row r="164" spans="2:16" hidden="1" x14ac:dyDescent="0.25">
      <c r="B164" s="37"/>
      <c r="C164" s="37"/>
      <c r="D164" s="11"/>
      <c r="E164" s="11"/>
      <c r="F164" s="11"/>
      <c r="G164" s="11"/>
      <c r="H164" s="35"/>
      <c r="I164" s="35"/>
      <c r="J164" s="35"/>
      <c r="K164" s="35"/>
      <c r="L164" s="35"/>
      <c r="M164" s="35"/>
      <c r="N164" s="35"/>
      <c r="O164" s="11">
        <v>12600000</v>
      </c>
      <c r="P164" s="60"/>
    </row>
    <row r="165" spans="2:16" hidden="1" x14ac:dyDescent="0.25">
      <c r="B165" s="37"/>
      <c r="C165" s="36"/>
      <c r="D165" s="11"/>
      <c r="E165" s="11"/>
      <c r="F165" s="11"/>
      <c r="G165" s="11"/>
      <c r="H165" s="35" t="s">
        <v>204</v>
      </c>
      <c r="I165" s="35" t="s">
        <v>154</v>
      </c>
      <c r="J165" s="35">
        <v>3</v>
      </c>
      <c r="K165" s="35">
        <v>210000</v>
      </c>
      <c r="L165" s="35">
        <v>0.06</v>
      </c>
      <c r="M165" s="35" t="s">
        <v>104</v>
      </c>
      <c r="N165" s="35" t="s">
        <v>104</v>
      </c>
      <c r="O165" s="11">
        <v>12600000</v>
      </c>
      <c r="P165" s="60"/>
    </row>
    <row r="166" spans="2:16" hidden="1" outlineLevel="1" x14ac:dyDescent="0.25">
      <c r="B166" s="37"/>
      <c r="C166" s="37"/>
      <c r="D166" s="11"/>
      <c r="E166" s="11"/>
      <c r="F166" s="11"/>
      <c r="G166" s="11"/>
      <c r="H166" s="35"/>
      <c r="I166" s="35"/>
      <c r="J166" s="35"/>
      <c r="K166" s="35"/>
      <c r="L166" s="35"/>
      <c r="M166" s="35"/>
      <c r="N166" s="35"/>
      <c r="O166" s="11">
        <v>12600000</v>
      </c>
      <c r="P166" s="60"/>
    </row>
    <row r="167" spans="2:16" hidden="1" outlineLevel="1" x14ac:dyDescent="0.25">
      <c r="B167" s="37"/>
      <c r="C167" s="37"/>
      <c r="D167" s="11"/>
      <c r="E167" s="11"/>
      <c r="F167" s="11"/>
      <c r="G167" s="11"/>
      <c r="H167" s="35"/>
      <c r="I167" s="35"/>
      <c r="J167" s="35"/>
      <c r="K167" s="35"/>
      <c r="L167" s="35"/>
      <c r="M167" s="35"/>
      <c r="N167" s="35"/>
      <c r="O167" s="11">
        <v>12600000</v>
      </c>
      <c r="P167" s="60"/>
    </row>
    <row r="168" spans="2:16" hidden="1" outlineLevel="1" x14ac:dyDescent="0.25">
      <c r="B168" s="37"/>
      <c r="C168" s="37"/>
      <c r="D168" s="11"/>
      <c r="E168" s="11"/>
      <c r="F168" s="11"/>
      <c r="G168" s="11"/>
      <c r="H168" s="35"/>
      <c r="I168" s="35"/>
      <c r="J168" s="35"/>
      <c r="K168" s="35"/>
      <c r="L168" s="35"/>
      <c r="M168" s="35"/>
      <c r="N168" s="35"/>
      <c r="O168" s="11">
        <v>12600000</v>
      </c>
      <c r="P168" s="60"/>
    </row>
    <row r="169" spans="2:16" hidden="1" outlineLevel="1" x14ac:dyDescent="0.25">
      <c r="B169" s="37"/>
      <c r="C169" s="37"/>
      <c r="D169" s="11"/>
      <c r="E169" s="11"/>
      <c r="F169" s="11"/>
      <c r="G169" s="11"/>
      <c r="H169" s="35"/>
      <c r="I169" s="35"/>
      <c r="J169" s="35"/>
      <c r="K169" s="35"/>
      <c r="L169" s="35"/>
      <c r="M169" s="35"/>
      <c r="N169" s="35"/>
      <c r="O169" s="11">
        <v>12600000</v>
      </c>
      <c r="P169" s="60"/>
    </row>
    <row r="170" spans="2:16" hidden="1" outlineLevel="1" x14ac:dyDescent="0.25">
      <c r="B170" s="37"/>
      <c r="C170" s="36"/>
      <c r="D170" s="11"/>
      <c r="E170" s="11"/>
      <c r="F170" s="11"/>
      <c r="G170" s="11"/>
      <c r="H170" s="35"/>
      <c r="I170" s="35"/>
      <c r="J170" s="35"/>
      <c r="K170" s="35"/>
      <c r="L170" s="35"/>
      <c r="M170" s="35"/>
      <c r="N170" s="35"/>
      <c r="O170" s="11">
        <v>12600000</v>
      </c>
      <c r="P170" s="60"/>
    </row>
    <row r="171" spans="2:16" hidden="1" outlineLevel="1" x14ac:dyDescent="0.25">
      <c r="B171" s="37"/>
      <c r="C171" s="37"/>
      <c r="D171" s="11"/>
      <c r="E171" s="11"/>
      <c r="F171" s="11"/>
      <c r="G171" s="11"/>
      <c r="H171" s="35"/>
      <c r="I171" s="35"/>
      <c r="J171" s="35"/>
      <c r="K171" s="35"/>
      <c r="L171" s="35"/>
      <c r="M171" s="35"/>
      <c r="N171" s="35"/>
      <c r="O171" s="11">
        <v>12600000</v>
      </c>
      <c r="P171" s="60"/>
    </row>
    <row r="172" spans="2:16" hidden="1" outlineLevel="1" x14ac:dyDescent="0.25">
      <c r="B172" s="37"/>
      <c r="C172" s="37"/>
      <c r="D172" s="11"/>
      <c r="E172" s="11"/>
      <c r="F172" s="11"/>
      <c r="G172" s="11"/>
      <c r="H172" s="35"/>
      <c r="I172" s="35"/>
      <c r="J172" s="35"/>
      <c r="K172" s="35"/>
      <c r="L172" s="35"/>
      <c r="M172" s="35"/>
      <c r="N172" s="35"/>
      <c r="O172" s="11">
        <v>12600000</v>
      </c>
      <c r="P172" s="60"/>
    </row>
    <row r="173" spans="2:16" hidden="1" outlineLevel="1" x14ac:dyDescent="0.25">
      <c r="B173" s="37"/>
      <c r="C173" s="36"/>
      <c r="D173" s="11"/>
      <c r="E173" s="11"/>
      <c r="F173" s="11"/>
      <c r="G173" s="11"/>
      <c r="H173" s="35"/>
      <c r="I173" s="35"/>
      <c r="J173" s="35"/>
      <c r="K173" s="35"/>
      <c r="L173" s="35"/>
      <c r="M173" s="35"/>
      <c r="N173" s="35"/>
      <c r="O173" s="11">
        <v>12600000</v>
      </c>
      <c r="P173" s="60"/>
    </row>
    <row r="174" spans="2:16" hidden="1" outlineLevel="1" x14ac:dyDescent="0.25">
      <c r="B174" s="37"/>
      <c r="C174" s="37"/>
      <c r="D174" s="11"/>
      <c r="E174" s="11"/>
      <c r="F174" s="11"/>
      <c r="G174" s="11"/>
      <c r="H174" s="35"/>
      <c r="I174" s="35"/>
      <c r="J174" s="35"/>
      <c r="K174" s="35"/>
      <c r="L174" s="35"/>
      <c r="M174" s="35"/>
      <c r="N174" s="35"/>
      <c r="O174" s="11">
        <v>12600000</v>
      </c>
      <c r="P174" s="60"/>
    </row>
    <row r="175" spans="2:16" hidden="1" outlineLevel="1" x14ac:dyDescent="0.25">
      <c r="B175" s="37"/>
      <c r="C175" s="37"/>
      <c r="D175" s="11"/>
      <c r="E175" s="11"/>
      <c r="F175" s="11"/>
      <c r="G175" s="11"/>
      <c r="H175" s="35"/>
      <c r="I175" s="35"/>
      <c r="J175" s="35"/>
      <c r="K175" s="35"/>
      <c r="L175" s="35"/>
      <c r="M175" s="35"/>
      <c r="N175" s="35"/>
      <c r="O175" s="11"/>
      <c r="P175" s="60"/>
    </row>
    <row r="176" spans="2:16" hidden="1" outlineLevel="1" x14ac:dyDescent="0.25">
      <c r="B176" s="37"/>
      <c r="C176" s="37"/>
      <c r="D176" s="11"/>
      <c r="E176" s="11"/>
      <c r="F176" s="11"/>
      <c r="G176" s="11"/>
      <c r="H176" s="35"/>
      <c r="I176" s="35"/>
      <c r="J176" s="35"/>
      <c r="K176" s="35"/>
      <c r="L176" s="35"/>
      <c r="M176" s="35"/>
      <c r="N176" s="35"/>
      <c r="O176" s="11"/>
      <c r="P176" s="60"/>
    </row>
    <row r="177" spans="2:20" hidden="1" outlineLevel="1" x14ac:dyDescent="0.25">
      <c r="B177" s="37"/>
      <c r="C177" s="36"/>
      <c r="D177" s="11"/>
      <c r="E177" s="11"/>
      <c r="F177" s="11"/>
      <c r="G177" s="11"/>
      <c r="H177" s="35"/>
      <c r="I177" s="35"/>
      <c r="J177" s="35"/>
      <c r="K177" s="35"/>
      <c r="L177" s="35"/>
      <c r="M177" s="35"/>
      <c r="N177" s="35"/>
      <c r="O177" s="11"/>
      <c r="P177" s="60"/>
    </row>
    <row r="178" spans="2:20" hidden="1" outlineLevel="1" x14ac:dyDescent="0.25">
      <c r="B178" s="37"/>
      <c r="C178" s="37"/>
      <c r="D178" s="11"/>
      <c r="E178" s="11"/>
      <c r="F178" s="11"/>
      <c r="G178" s="11"/>
      <c r="H178" s="35"/>
      <c r="I178" s="35"/>
      <c r="J178" s="35"/>
      <c r="K178" s="35"/>
      <c r="L178" s="35"/>
      <c r="M178" s="35"/>
      <c r="N178" s="35"/>
      <c r="O178" s="11"/>
      <c r="P178" s="60"/>
    </row>
    <row r="179" spans="2:20" hidden="1" outlineLevel="1" x14ac:dyDescent="0.25">
      <c r="B179" s="37"/>
      <c r="C179" s="37"/>
      <c r="D179" s="11"/>
      <c r="E179" s="11"/>
      <c r="F179" s="11"/>
      <c r="G179" s="11"/>
      <c r="H179" s="35"/>
      <c r="I179" s="35"/>
      <c r="J179" s="35"/>
      <c r="K179" s="35"/>
      <c r="L179" s="35"/>
      <c r="M179" s="35"/>
      <c r="N179" s="35"/>
      <c r="O179" s="11"/>
      <c r="P179" s="60"/>
    </row>
    <row r="180" spans="2:20" hidden="1" outlineLevel="1" x14ac:dyDescent="0.25">
      <c r="B180" s="37"/>
      <c r="C180" s="37"/>
      <c r="D180" s="11"/>
      <c r="E180" s="11"/>
      <c r="F180" s="11"/>
      <c r="G180" s="11"/>
      <c r="H180" s="35"/>
      <c r="I180" s="35"/>
      <c r="J180" s="35"/>
      <c r="K180" s="35"/>
      <c r="L180" s="35"/>
      <c r="M180" s="35"/>
      <c r="N180" s="35"/>
      <c r="O180" s="11"/>
      <c r="P180" s="60"/>
    </row>
    <row r="181" spans="2:20" hidden="1" outlineLevel="1" x14ac:dyDescent="0.25">
      <c r="B181" s="37"/>
      <c r="C181" s="37"/>
      <c r="D181" s="11"/>
      <c r="E181" s="11"/>
      <c r="F181" s="11"/>
      <c r="G181" s="11"/>
      <c r="H181" s="35"/>
      <c r="I181" s="35"/>
      <c r="J181" s="35"/>
      <c r="K181" s="35"/>
      <c r="L181" s="35"/>
      <c r="M181" s="35"/>
      <c r="N181" s="35"/>
      <c r="O181" s="11"/>
      <c r="P181" s="60"/>
    </row>
    <row r="182" spans="2:20" hidden="1" outlineLevel="1" x14ac:dyDescent="0.25">
      <c r="B182" s="37"/>
      <c r="C182" s="37"/>
      <c r="D182" s="11"/>
      <c r="E182" s="11"/>
      <c r="F182" s="11"/>
      <c r="G182" s="11"/>
      <c r="H182" s="35"/>
      <c r="I182" s="35"/>
      <c r="J182" s="35"/>
      <c r="K182" s="35"/>
      <c r="L182" s="35"/>
      <c r="M182" s="35"/>
      <c r="N182" s="35"/>
      <c r="O182" s="11"/>
      <c r="P182" s="60"/>
    </row>
    <row r="183" spans="2:20" collapsed="1" x14ac:dyDescent="0.25"/>
    <row r="184" spans="2:20" s="58" customFormat="1" x14ac:dyDescent="0.25">
      <c r="B184" s="59" t="s">
        <v>205</v>
      </c>
      <c r="D184" s="59"/>
      <c r="E184" s="59"/>
      <c r="F184" s="59"/>
    </row>
    <row r="185" spans="2:20" x14ac:dyDescent="0.25">
      <c r="B185" s="26"/>
      <c r="D185" s="26"/>
      <c r="E185" s="26"/>
      <c r="F185" s="26"/>
    </row>
    <row r="186" spans="2:20" ht="16.5" customHeight="1" x14ac:dyDescent="0.3">
      <c r="B186" s="47" t="s">
        <v>206</v>
      </c>
      <c r="C186" s="47" t="s">
        <v>113</v>
      </c>
      <c r="D186" s="47" t="s">
        <v>114</v>
      </c>
      <c r="E186" s="47" t="s">
        <v>115</v>
      </c>
      <c r="F186" s="47" t="s">
        <v>116</v>
      </c>
      <c r="G186" s="47" t="s">
        <v>117</v>
      </c>
      <c r="H186" s="47" t="s">
        <v>186</v>
      </c>
      <c r="I186" s="47" t="s">
        <v>187</v>
      </c>
      <c r="J186" s="47" t="s">
        <v>177</v>
      </c>
      <c r="K186" s="47" t="s">
        <v>188</v>
      </c>
      <c r="L186" s="47" t="s">
        <v>189</v>
      </c>
      <c r="M186" s="47" t="s">
        <v>207</v>
      </c>
      <c r="N186" s="47" t="s">
        <v>208</v>
      </c>
      <c r="O186" s="47" t="s">
        <v>191</v>
      </c>
      <c r="P186" s="47" t="s">
        <v>192</v>
      </c>
      <c r="Q186" s="47" t="s">
        <v>193</v>
      </c>
      <c r="R186" s="47" t="s">
        <v>146</v>
      </c>
      <c r="S186" s="47" t="s">
        <v>194</v>
      </c>
      <c r="T186" s="47" t="s">
        <v>209</v>
      </c>
    </row>
    <row r="187" spans="2:20" x14ac:dyDescent="0.25">
      <c r="B187" s="37" t="s">
        <v>327</v>
      </c>
      <c r="C187" s="36" t="s">
        <v>329</v>
      </c>
      <c r="D187" s="11">
        <v>137.61199999999999</v>
      </c>
      <c r="E187" s="11">
        <v>5.4</v>
      </c>
      <c r="F187" s="11">
        <v>137.61199999999999</v>
      </c>
      <c r="G187" s="11">
        <v>-55.4</v>
      </c>
      <c r="H187" s="35" t="s">
        <v>210</v>
      </c>
      <c r="I187" s="35" t="s">
        <v>154</v>
      </c>
      <c r="J187" s="35">
        <v>3</v>
      </c>
      <c r="K187" s="35">
        <v>210000</v>
      </c>
      <c r="L187" s="35">
        <v>78.5</v>
      </c>
      <c r="M187" s="35">
        <v>0.8</v>
      </c>
      <c r="N187" s="35">
        <v>2.5000000000000001E-2</v>
      </c>
      <c r="O187" s="35" t="s">
        <v>211</v>
      </c>
      <c r="P187" s="35"/>
      <c r="Q187" s="35"/>
      <c r="R187" s="40" t="s">
        <v>104</v>
      </c>
      <c r="S187" s="35" t="s">
        <v>104</v>
      </c>
      <c r="T187" s="35">
        <v>1500</v>
      </c>
    </row>
    <row r="188" spans="2:20" x14ac:dyDescent="0.25">
      <c r="B188" s="37" t="s">
        <v>330</v>
      </c>
      <c r="C188" s="36" t="s">
        <v>332</v>
      </c>
      <c r="D188" s="11">
        <v>119.44</v>
      </c>
      <c r="E188" s="11">
        <v>6.1150000000000002</v>
      </c>
      <c r="F188" s="11">
        <v>125.59</v>
      </c>
      <c r="G188" s="11">
        <v>-43.975000000000001</v>
      </c>
      <c r="H188" s="35" t="s">
        <v>210</v>
      </c>
      <c r="I188" s="35" t="s">
        <v>154</v>
      </c>
      <c r="J188" s="35">
        <v>3</v>
      </c>
      <c r="K188" s="35">
        <v>210000</v>
      </c>
      <c r="L188" s="35">
        <v>78.5</v>
      </c>
      <c r="M188" s="35">
        <v>0.71</v>
      </c>
      <c r="N188" s="35">
        <v>2.5000000000000001E-2</v>
      </c>
      <c r="O188" s="35" t="s">
        <v>211</v>
      </c>
      <c r="P188" s="35"/>
      <c r="Q188" s="35"/>
      <c r="R188" s="40" t="s">
        <v>104</v>
      </c>
      <c r="S188" s="35" t="s">
        <v>104</v>
      </c>
      <c r="T188" s="35">
        <v>700</v>
      </c>
    </row>
    <row r="189" spans="2:20" x14ac:dyDescent="0.25">
      <c r="B189" s="37" t="s">
        <v>517</v>
      </c>
      <c r="C189" s="37" t="s">
        <v>332</v>
      </c>
      <c r="D189" s="11">
        <v>111.44</v>
      </c>
      <c r="E189" s="11">
        <v>6.1150000000000002</v>
      </c>
      <c r="F189" s="11">
        <v>117.10299999999999</v>
      </c>
      <c r="G189" s="11">
        <v>-40.005000000000003</v>
      </c>
      <c r="H189" s="35" t="s">
        <v>515</v>
      </c>
      <c r="I189" s="35"/>
      <c r="J189" s="35"/>
      <c r="K189" s="35"/>
      <c r="L189" s="35"/>
      <c r="M189" s="35"/>
      <c r="N189" s="35"/>
      <c r="O189" s="35" t="s">
        <v>196</v>
      </c>
      <c r="P189" s="35">
        <v>1000</v>
      </c>
      <c r="Q189" s="35">
        <v>1000</v>
      </c>
      <c r="R189" s="40"/>
      <c r="S189" s="35"/>
      <c r="T189" s="35"/>
    </row>
    <row r="190" spans="2:20" outlineLevel="1" x14ac:dyDescent="0.25">
      <c r="B190" s="37" t="s">
        <v>518</v>
      </c>
      <c r="C190" s="37" t="s">
        <v>332</v>
      </c>
      <c r="D190" s="11">
        <v>104.745</v>
      </c>
      <c r="E190" s="11">
        <v>6.1150000000000002</v>
      </c>
      <c r="F190" s="11">
        <v>104.745</v>
      </c>
      <c r="G190" s="11">
        <v>-32.76</v>
      </c>
      <c r="H190" s="35" t="s">
        <v>516</v>
      </c>
      <c r="I190" s="35"/>
      <c r="J190" s="35"/>
      <c r="K190" s="35"/>
      <c r="L190" s="35"/>
      <c r="M190" s="35"/>
      <c r="N190" s="35"/>
      <c r="O190" s="35" t="s">
        <v>196</v>
      </c>
      <c r="P190" s="35">
        <v>1200</v>
      </c>
      <c r="Q190" s="35">
        <v>1200</v>
      </c>
      <c r="R190" s="40"/>
      <c r="S190" s="35"/>
      <c r="T190" s="35"/>
    </row>
    <row r="191" spans="2:20" outlineLevel="1" x14ac:dyDescent="0.25">
      <c r="B191" s="37" t="s">
        <v>330</v>
      </c>
      <c r="C191" s="37" t="s">
        <v>332</v>
      </c>
      <c r="D191" s="11">
        <v>76.588999999999999</v>
      </c>
      <c r="E191" s="11">
        <v>10.5</v>
      </c>
      <c r="F191" s="11">
        <v>84.361000000000004</v>
      </c>
      <c r="G191" s="11">
        <v>-26.064</v>
      </c>
      <c r="H191" s="35"/>
      <c r="I191" s="35"/>
      <c r="J191" s="35"/>
      <c r="K191" s="35"/>
      <c r="L191" s="35"/>
      <c r="M191" s="35"/>
      <c r="N191" s="35"/>
      <c r="O191" s="35"/>
      <c r="P191" s="35"/>
      <c r="Q191" s="35"/>
      <c r="R191" s="40"/>
      <c r="S191" s="35"/>
      <c r="T191" s="35"/>
    </row>
    <row r="192" spans="2:20" outlineLevel="1" x14ac:dyDescent="0.25">
      <c r="B192" s="37" t="s">
        <v>330</v>
      </c>
      <c r="C192" s="37" t="s">
        <v>332</v>
      </c>
      <c r="D192" s="11">
        <v>76.27</v>
      </c>
      <c r="E192" s="11">
        <v>10.5</v>
      </c>
      <c r="F192" s="11">
        <v>68.498000000000005</v>
      </c>
      <c r="G192" s="11">
        <v>-26.064</v>
      </c>
      <c r="H192" s="35"/>
      <c r="I192" s="35"/>
      <c r="J192" s="35"/>
      <c r="K192" s="35"/>
      <c r="L192" s="35"/>
      <c r="M192" s="35"/>
      <c r="N192" s="35"/>
      <c r="O192" s="35"/>
      <c r="P192" s="35"/>
      <c r="Q192" s="35"/>
      <c r="R192" s="40"/>
      <c r="S192" s="35"/>
      <c r="T192" s="35"/>
    </row>
    <row r="193" spans="2:20" outlineLevel="1" x14ac:dyDescent="0.25">
      <c r="B193" s="37" t="s">
        <v>330</v>
      </c>
      <c r="C193" s="36" t="s">
        <v>338</v>
      </c>
      <c r="D193" s="11">
        <v>131.172</v>
      </c>
      <c r="E193" s="11">
        <v>5.4</v>
      </c>
      <c r="F193" s="11">
        <v>71.557000000000002</v>
      </c>
      <c r="G193" s="11">
        <v>-42.180999999999997</v>
      </c>
      <c r="H193" s="35" t="s">
        <v>210</v>
      </c>
      <c r="I193" s="35" t="s">
        <v>154</v>
      </c>
      <c r="J193" s="35">
        <v>3</v>
      </c>
      <c r="K193" s="35">
        <v>210000</v>
      </c>
      <c r="L193" s="35">
        <v>78.5</v>
      </c>
      <c r="M193" s="35">
        <v>0.71</v>
      </c>
      <c r="N193" s="35">
        <v>2.5000000000000001E-2</v>
      </c>
      <c r="O193" s="35" t="s">
        <v>211</v>
      </c>
      <c r="P193" s="35"/>
      <c r="Q193" s="35"/>
      <c r="R193" s="40" t="s">
        <v>104</v>
      </c>
      <c r="S193" s="35" t="s">
        <v>104</v>
      </c>
      <c r="T193" s="35">
        <v>1200</v>
      </c>
    </row>
    <row r="194" spans="2:20" hidden="1" outlineLevel="1" x14ac:dyDescent="0.25">
      <c r="B194" s="37"/>
      <c r="C194" s="37"/>
      <c r="D194" s="11"/>
      <c r="E194" s="11"/>
      <c r="F194" s="11"/>
      <c r="G194" s="11"/>
      <c r="H194" s="35"/>
      <c r="I194" s="35"/>
      <c r="J194" s="35"/>
      <c r="K194" s="35"/>
      <c r="L194" s="35"/>
      <c r="M194" s="35"/>
      <c r="N194" s="35"/>
      <c r="O194" s="35"/>
      <c r="P194" s="35"/>
      <c r="Q194" s="35"/>
      <c r="R194" s="40"/>
      <c r="S194" s="35"/>
      <c r="T194" s="35"/>
    </row>
    <row r="195" spans="2:20" hidden="1" outlineLevel="1" x14ac:dyDescent="0.25">
      <c r="B195" s="37"/>
      <c r="C195" s="37"/>
      <c r="D195" s="11"/>
      <c r="E195" s="11"/>
      <c r="F195" s="11"/>
      <c r="G195" s="11"/>
      <c r="H195" s="35"/>
      <c r="I195" s="35"/>
      <c r="J195" s="35"/>
      <c r="K195" s="35"/>
      <c r="L195" s="35"/>
      <c r="M195" s="35"/>
      <c r="N195" s="35"/>
      <c r="O195" s="35"/>
      <c r="P195" s="35"/>
      <c r="Q195" s="35"/>
      <c r="R195" s="40"/>
      <c r="S195" s="35"/>
      <c r="T195" s="35"/>
    </row>
    <row r="196" spans="2:20" hidden="1" outlineLevel="1" x14ac:dyDescent="0.25">
      <c r="B196" s="37"/>
      <c r="C196" s="37"/>
      <c r="D196" s="11"/>
      <c r="E196" s="11"/>
      <c r="F196" s="11"/>
      <c r="G196" s="11"/>
      <c r="H196" s="35"/>
      <c r="I196" s="35"/>
      <c r="J196" s="35"/>
      <c r="K196" s="35"/>
      <c r="L196" s="35"/>
      <c r="M196" s="35"/>
      <c r="N196" s="35"/>
      <c r="O196" s="35"/>
      <c r="P196" s="35"/>
      <c r="Q196" s="35"/>
      <c r="R196" s="40"/>
      <c r="S196" s="35"/>
      <c r="T196" s="35"/>
    </row>
    <row r="197" spans="2:20" hidden="1" outlineLevel="1" x14ac:dyDescent="0.25">
      <c r="B197" s="37"/>
      <c r="C197" s="37"/>
      <c r="D197" s="11"/>
      <c r="E197" s="11"/>
      <c r="F197" s="11"/>
      <c r="G197" s="11"/>
      <c r="H197" s="35"/>
      <c r="I197" s="35"/>
      <c r="J197" s="35"/>
      <c r="K197" s="35"/>
      <c r="L197" s="35"/>
      <c r="M197" s="35"/>
      <c r="N197" s="35"/>
      <c r="O197" s="35"/>
      <c r="P197" s="35"/>
      <c r="Q197" s="35"/>
      <c r="R197" s="40"/>
      <c r="S197" s="35"/>
      <c r="T197" s="35"/>
    </row>
    <row r="198" spans="2:20" hidden="1" outlineLevel="1" x14ac:dyDescent="0.25">
      <c r="B198" s="37"/>
      <c r="C198" s="37"/>
      <c r="D198" s="11"/>
      <c r="E198" s="11"/>
      <c r="F198" s="11"/>
      <c r="G198" s="11"/>
      <c r="H198" s="35"/>
      <c r="I198" s="35"/>
      <c r="J198" s="35"/>
      <c r="K198" s="35"/>
      <c r="L198" s="35"/>
      <c r="M198" s="35"/>
      <c r="N198" s="35"/>
      <c r="O198" s="35"/>
      <c r="P198" s="35"/>
      <c r="Q198" s="35"/>
      <c r="R198" s="40"/>
      <c r="S198" s="35"/>
      <c r="T198" s="35"/>
    </row>
    <row r="199" spans="2:20" hidden="1" outlineLevel="1" x14ac:dyDescent="0.25">
      <c r="B199" s="37"/>
      <c r="C199" s="37"/>
      <c r="D199" s="11"/>
      <c r="E199" s="11"/>
      <c r="F199" s="11"/>
      <c r="G199" s="11"/>
      <c r="H199" s="35"/>
      <c r="I199" s="35"/>
      <c r="J199" s="35"/>
      <c r="K199" s="35"/>
      <c r="L199" s="35"/>
      <c r="M199" s="35"/>
      <c r="N199" s="35"/>
      <c r="O199" s="35"/>
      <c r="P199" s="35"/>
      <c r="Q199" s="35"/>
      <c r="R199" s="40"/>
      <c r="S199" s="35"/>
      <c r="T199" s="35"/>
    </row>
    <row r="200" spans="2:20" hidden="1" outlineLevel="1" x14ac:dyDescent="0.25">
      <c r="B200" s="37"/>
      <c r="C200" s="37"/>
      <c r="D200" s="11"/>
      <c r="E200" s="11"/>
      <c r="F200" s="11"/>
      <c r="G200" s="11"/>
      <c r="H200" s="35"/>
      <c r="I200" s="35"/>
      <c r="J200" s="35"/>
      <c r="K200" s="35"/>
      <c r="L200" s="35"/>
      <c r="M200" s="35"/>
      <c r="N200" s="35"/>
      <c r="O200" s="35"/>
      <c r="P200" s="35"/>
      <c r="Q200" s="35"/>
      <c r="R200" s="40"/>
      <c r="S200" s="35"/>
      <c r="T200" s="35"/>
    </row>
    <row r="201" spans="2:20" hidden="1" outlineLevel="1" x14ac:dyDescent="0.25">
      <c r="B201" s="37"/>
      <c r="C201" s="37"/>
      <c r="D201" s="11"/>
      <c r="E201" s="11"/>
      <c r="F201" s="11"/>
      <c r="G201" s="11"/>
      <c r="H201" s="35"/>
      <c r="I201" s="35"/>
      <c r="J201" s="35"/>
      <c r="K201" s="35"/>
      <c r="L201" s="35"/>
      <c r="M201" s="35"/>
      <c r="N201" s="35"/>
      <c r="O201" s="35"/>
      <c r="P201" s="35"/>
      <c r="Q201" s="35"/>
      <c r="R201" s="40"/>
      <c r="S201" s="35"/>
      <c r="T201" s="35"/>
    </row>
    <row r="202" spans="2:20" hidden="1" outlineLevel="1" x14ac:dyDescent="0.25">
      <c r="B202" s="37"/>
      <c r="C202" s="37"/>
      <c r="D202" s="11"/>
      <c r="E202" s="11"/>
      <c r="F202" s="11"/>
      <c r="G202" s="11"/>
      <c r="H202" s="35"/>
      <c r="I202" s="35"/>
      <c r="J202" s="35"/>
      <c r="K202" s="35"/>
      <c r="L202" s="35"/>
      <c r="M202" s="35"/>
      <c r="N202" s="35"/>
      <c r="O202" s="35"/>
      <c r="P202" s="35"/>
      <c r="Q202" s="35"/>
      <c r="R202" s="40"/>
      <c r="S202" s="35"/>
      <c r="T202" s="35"/>
    </row>
    <row r="203" spans="2:20" hidden="1" outlineLevel="1" x14ac:dyDescent="0.25">
      <c r="B203" s="38"/>
      <c r="C203" s="38"/>
      <c r="D203" s="3"/>
      <c r="E203" s="3"/>
      <c r="F203" s="3"/>
      <c r="G203" s="3"/>
      <c r="H203" s="35"/>
      <c r="I203" s="35"/>
      <c r="J203" s="35"/>
      <c r="K203" s="35"/>
      <c r="L203" s="35"/>
      <c r="M203" s="35"/>
      <c r="N203" s="35"/>
      <c r="O203" s="35"/>
      <c r="P203" s="35"/>
      <c r="Q203" s="35"/>
      <c r="R203" s="40"/>
      <c r="S203" s="35"/>
      <c r="T203" s="35"/>
    </row>
    <row r="204" spans="2:20" hidden="1" outlineLevel="1" x14ac:dyDescent="0.25">
      <c r="B204" s="38"/>
      <c r="C204" s="38"/>
      <c r="D204" s="3"/>
      <c r="E204" s="3"/>
      <c r="F204" s="3"/>
      <c r="G204" s="3"/>
      <c r="H204" s="35"/>
      <c r="I204" s="35"/>
      <c r="J204" s="35"/>
      <c r="K204" s="35"/>
      <c r="L204" s="35"/>
      <c r="M204" s="35"/>
      <c r="N204" s="35"/>
      <c r="O204" s="35"/>
      <c r="P204" s="35"/>
      <c r="Q204" s="35"/>
      <c r="R204" s="40"/>
      <c r="S204" s="35"/>
      <c r="T204" s="35"/>
    </row>
    <row r="205" spans="2:20" hidden="1" outlineLevel="1" x14ac:dyDescent="0.25">
      <c r="B205" s="38"/>
      <c r="C205" s="38"/>
      <c r="D205" s="3"/>
      <c r="E205" s="3"/>
      <c r="F205" s="3"/>
      <c r="G205" s="3"/>
      <c r="H205" s="35"/>
      <c r="I205" s="35"/>
      <c r="J205" s="35"/>
      <c r="K205" s="35"/>
      <c r="L205" s="35"/>
      <c r="M205" s="35"/>
      <c r="N205" s="35"/>
      <c r="O205" s="35"/>
      <c r="P205" s="35"/>
      <c r="Q205" s="35"/>
      <c r="R205" s="40"/>
      <c r="S205" s="35"/>
      <c r="T205" s="35"/>
    </row>
    <row r="206" spans="2:20" hidden="1" x14ac:dyDescent="0.25">
      <c r="B206" s="38"/>
      <c r="C206" s="38"/>
      <c r="D206" s="3"/>
      <c r="E206" s="3"/>
      <c r="F206" s="3"/>
      <c r="G206" s="3"/>
      <c r="H206" s="35"/>
      <c r="I206" s="35"/>
      <c r="J206" s="35"/>
      <c r="K206" s="35"/>
      <c r="L206" s="35"/>
      <c r="M206" s="35"/>
      <c r="N206" s="35"/>
      <c r="O206" s="35"/>
      <c r="P206" s="35"/>
      <c r="Q206" s="35"/>
      <c r="R206" s="40"/>
      <c r="S206" s="35"/>
      <c r="T206" s="35"/>
    </row>
    <row r="207" spans="2:20" x14ac:dyDescent="0.25">
      <c r="B207" s="69"/>
      <c r="C207" s="69"/>
      <c r="H207" s="70"/>
      <c r="I207" s="70"/>
      <c r="J207" s="70"/>
      <c r="K207" s="70"/>
      <c r="L207" s="70"/>
      <c r="M207" s="70"/>
      <c r="N207" s="70"/>
      <c r="O207" s="70"/>
      <c r="P207" s="70"/>
      <c r="Q207" s="70"/>
      <c r="R207" s="70"/>
      <c r="S207" s="70"/>
      <c r="T207" s="70"/>
    </row>
    <row r="208" spans="2:20" s="57" customFormat="1" collapsed="1" x14ac:dyDescent="0.25">
      <c r="B208" s="57" t="s">
        <v>212</v>
      </c>
    </row>
    <row r="210" spans="2:18" ht="16.5" customHeight="1" x14ac:dyDescent="0.3">
      <c r="B210" s="47" t="s">
        <v>213</v>
      </c>
      <c r="C210" s="47" t="s">
        <v>113</v>
      </c>
      <c r="D210" s="47" t="s">
        <v>114</v>
      </c>
      <c r="E210" s="47" t="s">
        <v>115</v>
      </c>
      <c r="F210" s="47" t="s">
        <v>116</v>
      </c>
      <c r="G210" s="47" t="s">
        <v>117</v>
      </c>
      <c r="H210" s="47" t="s">
        <v>214</v>
      </c>
      <c r="I210" s="47" t="s">
        <v>215</v>
      </c>
      <c r="J210" s="47" t="s">
        <v>216</v>
      </c>
      <c r="K210" s="47" t="s">
        <v>217</v>
      </c>
      <c r="L210" s="47" t="s">
        <v>142</v>
      </c>
      <c r="M210" s="47" t="s">
        <v>144</v>
      </c>
      <c r="N210" s="47" t="s">
        <v>218</v>
      </c>
      <c r="O210" s="47" t="s">
        <v>219</v>
      </c>
      <c r="P210" s="47" t="s">
        <v>220</v>
      </c>
      <c r="Q210" s="47" t="s">
        <v>221</v>
      </c>
      <c r="R210" s="47" t="s">
        <v>222</v>
      </c>
    </row>
    <row r="211" spans="2:18" hidden="1" x14ac:dyDescent="0.25">
      <c r="B211" s="42"/>
      <c r="C211" s="43"/>
      <c r="D211" s="44"/>
      <c r="E211" s="44"/>
      <c r="F211" s="44"/>
      <c r="G211" s="44"/>
      <c r="H211" s="35" t="s">
        <v>212</v>
      </c>
      <c r="I211" s="35" t="s">
        <v>223</v>
      </c>
      <c r="J211" s="35">
        <v>20000</v>
      </c>
      <c r="K211" s="35">
        <v>1</v>
      </c>
      <c r="L211" s="35" t="s">
        <v>155</v>
      </c>
      <c r="M211" s="46" t="s">
        <v>168</v>
      </c>
      <c r="N211" s="46">
        <v>1</v>
      </c>
      <c r="O211" s="45">
        <v>10</v>
      </c>
      <c r="P211" s="45"/>
      <c r="Q211" s="44">
        <v>20000000</v>
      </c>
      <c r="R211" s="44">
        <v>20000000</v>
      </c>
    </row>
    <row r="212" spans="2:18" hidden="1" x14ac:dyDescent="0.25">
      <c r="B212" s="37"/>
      <c r="C212" s="36"/>
      <c r="D212" s="11"/>
      <c r="E212" s="11"/>
      <c r="F212" s="11"/>
      <c r="G212" s="11"/>
      <c r="H212" s="35"/>
      <c r="I212" s="35"/>
      <c r="J212" s="35"/>
      <c r="K212" s="35"/>
      <c r="L212" s="35"/>
      <c r="M212" s="35"/>
      <c r="N212" s="35"/>
      <c r="O212" s="35"/>
      <c r="P212" s="35"/>
      <c r="Q212" s="11"/>
      <c r="R212" s="11"/>
    </row>
    <row r="213" spans="2:18" hidden="1" x14ac:dyDescent="0.25">
      <c r="B213" s="37"/>
      <c r="C213" s="37"/>
      <c r="D213" s="11"/>
      <c r="E213" s="11"/>
      <c r="F213" s="11"/>
      <c r="G213" s="11"/>
      <c r="H213" s="35"/>
      <c r="I213" s="35"/>
      <c r="J213" s="35"/>
      <c r="K213" s="35"/>
      <c r="L213" s="35"/>
      <c r="M213" s="35"/>
      <c r="N213" s="35"/>
      <c r="O213" s="35"/>
      <c r="P213" s="35"/>
      <c r="Q213" s="11"/>
      <c r="R213" s="11"/>
    </row>
    <row r="214" spans="2:18" hidden="1" x14ac:dyDescent="0.25">
      <c r="B214" s="37"/>
      <c r="C214" s="37"/>
      <c r="D214" s="11"/>
      <c r="E214" s="11"/>
      <c r="F214" s="11"/>
      <c r="G214" s="11"/>
      <c r="H214" s="35"/>
      <c r="I214" s="35"/>
      <c r="J214" s="35"/>
      <c r="K214" s="35"/>
      <c r="L214" s="35"/>
      <c r="M214" s="35"/>
      <c r="N214" s="35"/>
      <c r="O214" s="35"/>
      <c r="P214" s="35"/>
      <c r="Q214" s="11"/>
      <c r="R214" s="11"/>
    </row>
    <row r="215" spans="2:18" hidden="1" x14ac:dyDescent="0.25">
      <c r="B215" s="37"/>
      <c r="C215" s="37"/>
      <c r="D215" s="11"/>
      <c r="E215" s="11"/>
      <c r="F215" s="11"/>
      <c r="G215" s="11"/>
      <c r="H215" s="35"/>
      <c r="I215" s="35"/>
      <c r="J215" s="35"/>
      <c r="K215" s="35"/>
      <c r="L215" s="35"/>
      <c r="M215" s="35"/>
      <c r="N215" s="35"/>
      <c r="O215" s="35"/>
      <c r="P215" s="35"/>
      <c r="Q215" s="11"/>
      <c r="R215" s="11"/>
    </row>
    <row r="216" spans="2:18" hidden="1" x14ac:dyDescent="0.25">
      <c r="B216" s="37"/>
      <c r="C216" s="37"/>
      <c r="D216" s="11"/>
      <c r="E216" s="11"/>
      <c r="F216" s="11"/>
      <c r="G216" s="11"/>
      <c r="H216" s="35"/>
      <c r="I216" s="35"/>
      <c r="J216" s="35"/>
      <c r="K216" s="35"/>
      <c r="L216" s="35"/>
      <c r="M216" s="35"/>
      <c r="N216" s="35"/>
      <c r="O216" s="35"/>
      <c r="P216" s="35"/>
      <c r="Q216" s="11"/>
      <c r="R216" s="11"/>
    </row>
    <row r="217" spans="2:18" hidden="1" x14ac:dyDescent="0.25">
      <c r="B217" s="37"/>
      <c r="C217" s="37"/>
      <c r="D217" s="11"/>
      <c r="E217" s="11"/>
      <c r="F217" s="11"/>
      <c r="G217" s="11"/>
      <c r="H217" s="35"/>
      <c r="I217" s="35"/>
      <c r="J217" s="35"/>
      <c r="K217" s="35"/>
      <c r="L217" s="35"/>
      <c r="M217" s="35"/>
      <c r="N217" s="35"/>
      <c r="O217" s="35"/>
      <c r="P217" s="35"/>
      <c r="Q217" s="11"/>
      <c r="R217" s="11"/>
    </row>
    <row r="218" spans="2:18" hidden="1" x14ac:dyDescent="0.25">
      <c r="B218" s="37"/>
      <c r="C218" s="37"/>
      <c r="D218" s="11"/>
      <c r="E218" s="11"/>
      <c r="F218" s="11"/>
      <c r="G218" s="11"/>
      <c r="H218" s="35"/>
      <c r="I218" s="35"/>
      <c r="J218" s="35"/>
      <c r="K218" s="35"/>
      <c r="L218" s="35"/>
      <c r="M218" s="35"/>
      <c r="N218" s="35"/>
      <c r="O218" s="35"/>
      <c r="P218" s="35"/>
      <c r="Q218" s="11"/>
      <c r="R218" s="11"/>
    </row>
    <row r="219" spans="2:18" hidden="1" x14ac:dyDescent="0.25">
      <c r="B219" s="37"/>
      <c r="C219" s="37"/>
      <c r="D219" s="11"/>
      <c r="E219" s="11"/>
      <c r="F219" s="11"/>
      <c r="G219" s="11"/>
      <c r="H219" s="35"/>
      <c r="I219" s="35"/>
      <c r="J219" s="35"/>
      <c r="K219" s="35"/>
      <c r="L219" s="35"/>
      <c r="M219" s="35"/>
      <c r="N219" s="35"/>
      <c r="O219" s="35"/>
      <c r="P219" s="35"/>
      <c r="Q219" s="11"/>
      <c r="R219" s="11"/>
    </row>
    <row r="220" spans="2:18" hidden="1" x14ac:dyDescent="0.25">
      <c r="B220" s="37"/>
      <c r="C220" s="37"/>
      <c r="D220" s="11"/>
      <c r="E220" s="11"/>
      <c r="F220" s="11"/>
      <c r="G220" s="11"/>
      <c r="H220" s="35"/>
      <c r="I220" s="35"/>
      <c r="J220" s="35"/>
      <c r="K220" s="35"/>
      <c r="L220" s="35"/>
      <c r="M220" s="35"/>
      <c r="N220" s="35"/>
      <c r="O220" s="35"/>
      <c r="P220" s="35"/>
      <c r="Q220" s="11"/>
      <c r="R220" s="11"/>
    </row>
    <row r="221" spans="2:18" hidden="1" x14ac:dyDescent="0.25">
      <c r="B221" s="37"/>
      <c r="C221" s="37"/>
      <c r="D221" s="11"/>
      <c r="E221" s="11"/>
      <c r="F221" s="11"/>
      <c r="G221" s="11"/>
      <c r="H221" s="35"/>
      <c r="I221" s="35"/>
      <c r="J221" s="35"/>
      <c r="K221" s="35"/>
      <c r="L221" s="35"/>
      <c r="M221" s="35"/>
      <c r="N221" s="35"/>
      <c r="O221" s="35"/>
      <c r="P221" s="35"/>
      <c r="Q221" s="11"/>
      <c r="R221" s="11"/>
    </row>
    <row r="222" spans="2:18" hidden="1" x14ac:dyDescent="0.25">
      <c r="B222" s="37"/>
      <c r="C222" s="37"/>
      <c r="D222" s="11"/>
      <c r="E222" s="11"/>
      <c r="F222" s="11"/>
      <c r="G222" s="11"/>
      <c r="H222" s="35"/>
      <c r="I222" s="35"/>
      <c r="J222" s="35"/>
      <c r="K222" s="35"/>
      <c r="L222" s="35"/>
      <c r="M222" s="35"/>
      <c r="N222" s="35"/>
      <c r="O222" s="35"/>
      <c r="P222" s="35"/>
      <c r="Q222" s="11"/>
      <c r="R222" s="11"/>
    </row>
    <row r="223" spans="2:18" hidden="1" x14ac:dyDescent="0.25">
      <c r="B223" s="37"/>
      <c r="C223" s="37"/>
      <c r="D223" s="11"/>
      <c r="E223" s="11"/>
      <c r="F223" s="11"/>
      <c r="G223" s="11"/>
      <c r="H223" s="35"/>
      <c r="I223" s="35"/>
      <c r="J223" s="35"/>
      <c r="K223" s="35"/>
      <c r="L223" s="35"/>
      <c r="M223" s="35"/>
      <c r="N223" s="35"/>
      <c r="O223" s="35"/>
      <c r="P223" s="35"/>
      <c r="Q223" s="11"/>
      <c r="R223" s="11"/>
    </row>
    <row r="224" spans="2:18" hidden="1" x14ac:dyDescent="0.25">
      <c r="B224" s="37"/>
      <c r="C224" s="37"/>
      <c r="D224" s="11"/>
      <c r="E224" s="11"/>
      <c r="F224" s="11"/>
      <c r="G224" s="11"/>
      <c r="H224" s="35"/>
      <c r="I224" s="35"/>
      <c r="J224" s="35"/>
      <c r="K224" s="35"/>
      <c r="L224" s="35"/>
      <c r="M224" s="35"/>
      <c r="N224" s="35"/>
      <c r="O224" s="35"/>
      <c r="P224" s="35"/>
      <c r="Q224" s="11"/>
      <c r="R224" s="11"/>
    </row>
    <row r="225" spans="2:28" hidden="1" x14ac:dyDescent="0.25">
      <c r="B225" s="37"/>
      <c r="C225" s="37"/>
      <c r="D225" s="11"/>
      <c r="E225" s="11"/>
      <c r="F225" s="11"/>
      <c r="G225" s="11"/>
      <c r="H225" s="35"/>
      <c r="I225" s="35"/>
      <c r="J225" s="35"/>
      <c r="K225" s="35"/>
      <c r="L225" s="35"/>
      <c r="M225" s="35"/>
      <c r="N225" s="35"/>
      <c r="O225" s="35"/>
      <c r="P225" s="35"/>
      <c r="Q225" s="11"/>
      <c r="R225" s="11"/>
    </row>
    <row r="226" spans="2:28" hidden="1" x14ac:dyDescent="0.25">
      <c r="B226" s="37"/>
      <c r="C226" s="37"/>
      <c r="D226" s="11"/>
      <c r="E226" s="11"/>
      <c r="F226" s="11"/>
      <c r="G226" s="11"/>
      <c r="H226" s="35"/>
      <c r="I226" s="35"/>
      <c r="J226" s="35"/>
      <c r="K226" s="35"/>
      <c r="L226" s="35"/>
      <c r="M226" s="35"/>
      <c r="N226" s="35"/>
      <c r="O226" s="35"/>
      <c r="P226" s="35"/>
      <c r="Q226" s="11"/>
      <c r="R226" s="11"/>
    </row>
    <row r="227" spans="2:28" hidden="1" x14ac:dyDescent="0.25">
      <c r="B227" s="37"/>
      <c r="C227" s="37"/>
      <c r="D227" s="11"/>
      <c r="E227" s="11"/>
      <c r="F227" s="11"/>
      <c r="G227" s="11"/>
      <c r="H227" s="35"/>
      <c r="I227" s="35"/>
      <c r="J227" s="35"/>
      <c r="K227" s="35"/>
      <c r="L227" s="35"/>
      <c r="M227" s="35"/>
      <c r="N227" s="35"/>
      <c r="O227" s="35"/>
      <c r="P227" s="35"/>
      <c r="Q227" s="11"/>
      <c r="R227" s="11"/>
    </row>
    <row r="228" spans="2:28" hidden="1" x14ac:dyDescent="0.25">
      <c r="B228" s="37"/>
      <c r="C228" s="37"/>
      <c r="D228" s="11"/>
      <c r="E228" s="11"/>
      <c r="F228" s="11"/>
      <c r="G228" s="11"/>
      <c r="H228" s="35"/>
      <c r="I228" s="35"/>
      <c r="J228" s="35"/>
      <c r="K228" s="35"/>
      <c r="L228" s="35"/>
      <c r="M228" s="35"/>
      <c r="N228" s="35"/>
      <c r="O228" s="35"/>
      <c r="P228" s="35"/>
      <c r="Q228" s="11"/>
      <c r="R228" s="11"/>
    </row>
    <row r="229" spans="2:28" hidden="1" x14ac:dyDescent="0.25">
      <c r="B229" s="37"/>
      <c r="C229" s="37"/>
      <c r="D229" s="11"/>
      <c r="E229" s="11"/>
      <c r="F229" s="11"/>
      <c r="G229" s="11"/>
      <c r="H229" s="35"/>
      <c r="I229" s="35"/>
      <c r="J229" s="35"/>
      <c r="K229" s="35"/>
      <c r="L229" s="35"/>
      <c r="M229" s="35"/>
      <c r="N229" s="35"/>
      <c r="O229" s="35"/>
      <c r="P229" s="35"/>
      <c r="Q229" s="11"/>
      <c r="R229" s="11"/>
    </row>
    <row r="230" spans="2:28" hidden="1" x14ac:dyDescent="0.25">
      <c r="B230" s="37"/>
      <c r="C230" s="37"/>
      <c r="D230" s="11"/>
      <c r="E230" s="11"/>
      <c r="F230" s="11"/>
      <c r="G230" s="11"/>
      <c r="H230" s="35"/>
      <c r="I230" s="35"/>
      <c r="J230" s="35"/>
      <c r="K230" s="35"/>
      <c r="L230" s="35"/>
      <c r="M230" s="35"/>
      <c r="N230" s="35"/>
      <c r="O230" s="35"/>
      <c r="P230" s="35"/>
      <c r="Q230" s="11"/>
      <c r="R230" s="11"/>
    </row>
    <row r="232" spans="2:28" s="57" customFormat="1" x14ac:dyDescent="0.25">
      <c r="B232" s="57" t="s">
        <v>224</v>
      </c>
    </row>
    <row r="233" spans="2:28" x14ac:dyDescent="0.25">
      <c r="H233" t="s">
        <v>225</v>
      </c>
      <c r="I233" s="35">
        <v>100</v>
      </c>
      <c r="Q233" t="s">
        <v>225</v>
      </c>
      <c r="R233" s="35">
        <v>125</v>
      </c>
      <c r="Y233" t="s">
        <v>225</v>
      </c>
      <c r="Z233" s="35">
        <v>125</v>
      </c>
    </row>
    <row r="234" spans="2:28" ht="16.5" customHeight="1" x14ac:dyDescent="0.3">
      <c r="B234" s="47" t="s">
        <v>226</v>
      </c>
      <c r="C234" s="47" t="s">
        <v>113</v>
      </c>
      <c r="D234" s="47" t="s">
        <v>114</v>
      </c>
      <c r="E234" s="47" t="s">
        <v>115</v>
      </c>
      <c r="F234" s="47" t="s">
        <v>116</v>
      </c>
      <c r="G234" s="47" t="s">
        <v>117</v>
      </c>
      <c r="H234" s="47" t="s">
        <v>227</v>
      </c>
      <c r="I234" s="47" t="s">
        <v>228</v>
      </c>
      <c r="J234" s="47" t="s">
        <v>229</v>
      </c>
      <c r="K234" s="47" t="s">
        <v>229</v>
      </c>
      <c r="M234" s="47" t="s">
        <v>230</v>
      </c>
      <c r="N234" s="47" t="s">
        <v>113</v>
      </c>
      <c r="O234" s="47" t="s">
        <v>114</v>
      </c>
      <c r="P234" s="47" t="s">
        <v>115</v>
      </c>
      <c r="Q234" s="47" t="s">
        <v>116</v>
      </c>
      <c r="R234" s="47" t="s">
        <v>117</v>
      </c>
      <c r="S234" s="47" t="s">
        <v>231</v>
      </c>
      <c r="U234" s="47" t="s">
        <v>232</v>
      </c>
      <c r="V234" s="47" t="s">
        <v>113</v>
      </c>
      <c r="W234" s="47" t="s">
        <v>114</v>
      </c>
      <c r="X234" s="47" t="s">
        <v>115</v>
      </c>
      <c r="Y234" s="47" t="s">
        <v>116</v>
      </c>
      <c r="Z234" s="47" t="s">
        <v>117</v>
      </c>
      <c r="AA234" s="47" t="s">
        <v>233</v>
      </c>
    </row>
    <row r="235" spans="2:28" x14ac:dyDescent="0.25">
      <c r="B235" s="3" t="s">
        <v>234</v>
      </c>
      <c r="C235" s="3" t="s">
        <v>235</v>
      </c>
      <c r="D235" s="3">
        <v>102.995</v>
      </c>
      <c r="E235" s="3">
        <v>5.4</v>
      </c>
      <c r="F235" s="3">
        <v>128.495</v>
      </c>
      <c r="G235" s="3">
        <v>5.4</v>
      </c>
      <c r="H235" s="3" t="s">
        <v>235</v>
      </c>
      <c r="I235" s="3">
        <v>5</v>
      </c>
      <c r="J235" s="4" t="s">
        <v>103</v>
      </c>
      <c r="K235" s="4"/>
      <c r="M235" s="3"/>
      <c r="N235" s="3"/>
      <c r="O235" s="3"/>
      <c r="P235" s="3"/>
      <c r="Q235" s="3"/>
      <c r="R235" s="3"/>
      <c r="S235" s="3"/>
      <c r="U235" s="3" t="s">
        <v>236</v>
      </c>
      <c r="V235" s="3" t="s">
        <v>237</v>
      </c>
      <c r="W235" s="3">
        <v>-12.545</v>
      </c>
      <c r="X235" s="3">
        <v>0</v>
      </c>
      <c r="Y235" s="3">
        <v>254.50899999999999</v>
      </c>
      <c r="Z235" s="3">
        <v>0</v>
      </c>
      <c r="AA235" s="3">
        <v>1</v>
      </c>
    </row>
    <row r="236" spans="2:28" x14ac:dyDescent="0.25">
      <c r="B236" s="3" t="s">
        <v>234</v>
      </c>
      <c r="C236" s="3" t="s">
        <v>235</v>
      </c>
      <c r="D236" s="3">
        <v>128.495</v>
      </c>
      <c r="E236" s="3">
        <v>5.4</v>
      </c>
      <c r="F236" s="3">
        <v>130.27799999999999</v>
      </c>
      <c r="G236" s="3">
        <v>3.9940000000000002</v>
      </c>
      <c r="H236" s="3" t="s">
        <v>235</v>
      </c>
      <c r="I236" s="3">
        <v>5</v>
      </c>
      <c r="J236" s="4" t="s">
        <v>103</v>
      </c>
      <c r="K236" s="4"/>
      <c r="M236" s="3"/>
      <c r="N236" s="3"/>
      <c r="O236" s="3"/>
      <c r="P236" s="3"/>
      <c r="Q236" s="3"/>
      <c r="R236" s="3"/>
      <c r="S236" s="3"/>
      <c r="U236" s="3" t="s">
        <v>238</v>
      </c>
      <c r="V236" s="3" t="s">
        <v>239</v>
      </c>
      <c r="W236" s="3">
        <v>0</v>
      </c>
      <c r="X236" s="3">
        <v>10</v>
      </c>
      <c r="Y236" s="3">
        <v>103.995</v>
      </c>
      <c r="Z236" s="3">
        <v>10</v>
      </c>
      <c r="AA236" s="3"/>
      <c r="AB236">
        <v>1</v>
      </c>
    </row>
    <row r="237" spans="2:28" x14ac:dyDescent="0.25">
      <c r="B237" s="3" t="s">
        <v>234</v>
      </c>
      <c r="C237" s="3" t="s">
        <v>235</v>
      </c>
      <c r="D237" s="3">
        <v>130.27799999999999</v>
      </c>
      <c r="E237" s="3">
        <v>3.9940000000000002</v>
      </c>
      <c r="F237" s="3">
        <v>132.77799999999999</v>
      </c>
      <c r="G237" s="3">
        <v>3.9940000000000002</v>
      </c>
      <c r="H237" s="3" t="s">
        <v>235</v>
      </c>
      <c r="I237" s="3">
        <v>5</v>
      </c>
      <c r="J237" s="4" t="s">
        <v>103</v>
      </c>
      <c r="K237" s="4"/>
      <c r="M237" s="3"/>
      <c r="N237" s="3"/>
      <c r="O237" s="3"/>
      <c r="P237" s="3"/>
      <c r="Q237" s="3"/>
      <c r="R237" s="3"/>
      <c r="S237" s="3"/>
      <c r="U237" s="3" t="s">
        <v>240</v>
      </c>
      <c r="V237" s="3" t="s">
        <v>241</v>
      </c>
      <c r="W237" s="3">
        <v>0</v>
      </c>
      <c r="X237" s="3">
        <v>-85</v>
      </c>
      <c r="Y237" s="3">
        <v>0</v>
      </c>
      <c r="Z237" s="3">
        <v>12.1</v>
      </c>
      <c r="AA237" s="3"/>
      <c r="AB237">
        <v>2</v>
      </c>
    </row>
    <row r="238" spans="2:28" x14ac:dyDescent="0.25">
      <c r="B238" s="3" t="s">
        <v>234</v>
      </c>
      <c r="C238" s="3" t="s">
        <v>235</v>
      </c>
      <c r="D238" s="3">
        <v>132.77799999999999</v>
      </c>
      <c r="E238" s="3">
        <v>3.9940000000000002</v>
      </c>
      <c r="F238" s="3">
        <v>133.495</v>
      </c>
      <c r="G238" s="3">
        <v>4.5999999999999996</v>
      </c>
      <c r="H238" s="3" t="s">
        <v>235</v>
      </c>
      <c r="I238" s="3">
        <v>5</v>
      </c>
      <c r="J238" s="4" t="s">
        <v>103</v>
      </c>
      <c r="K238" s="4"/>
      <c r="M238" s="3"/>
      <c r="N238" s="3"/>
      <c r="O238" s="3"/>
      <c r="P238" s="3"/>
      <c r="Q238" s="3"/>
      <c r="R238" s="3"/>
      <c r="S238" s="3"/>
      <c r="U238" s="3" t="s">
        <v>242</v>
      </c>
      <c r="V238" s="3" t="s">
        <v>241</v>
      </c>
      <c r="W238" s="3">
        <v>240</v>
      </c>
      <c r="X238" s="3">
        <v>-85</v>
      </c>
      <c r="Y238" s="3">
        <v>240</v>
      </c>
      <c r="Z238" s="3">
        <v>5</v>
      </c>
      <c r="AA238" s="3"/>
      <c r="AB238">
        <v>3</v>
      </c>
    </row>
    <row r="239" spans="2:28" x14ac:dyDescent="0.25">
      <c r="B239" s="3" t="s">
        <v>234</v>
      </c>
      <c r="C239" s="3" t="s">
        <v>235</v>
      </c>
      <c r="D239" s="3">
        <v>133.495</v>
      </c>
      <c r="E239" s="3">
        <v>4.5999999999999996</v>
      </c>
      <c r="F239" s="3">
        <v>138.995</v>
      </c>
      <c r="G239" s="3">
        <v>4.5999999999999996</v>
      </c>
      <c r="H239" s="3" t="s">
        <v>235</v>
      </c>
      <c r="I239" s="3">
        <v>5</v>
      </c>
      <c r="J239" s="4" t="s">
        <v>103</v>
      </c>
      <c r="K239" s="4"/>
      <c r="M239" s="3"/>
      <c r="N239" s="3"/>
      <c r="O239" s="3"/>
      <c r="P239" s="3"/>
      <c r="Q239" s="3"/>
      <c r="R239" s="3"/>
      <c r="S239" s="3"/>
      <c r="U239" s="3" t="s">
        <v>243</v>
      </c>
      <c r="V239" s="3" t="s">
        <v>241</v>
      </c>
      <c r="W239" s="3">
        <v>0</v>
      </c>
      <c r="X239" s="3">
        <v>-85</v>
      </c>
      <c r="Y239" s="3">
        <v>240</v>
      </c>
      <c r="Z239" s="3">
        <v>-85</v>
      </c>
      <c r="AA239" s="3"/>
      <c r="AB239">
        <v>4</v>
      </c>
    </row>
    <row r="240" spans="2:28" x14ac:dyDescent="0.25">
      <c r="B240" s="3" t="s">
        <v>234</v>
      </c>
      <c r="C240" s="3" t="s">
        <v>235</v>
      </c>
      <c r="D240" s="3">
        <v>138.995</v>
      </c>
      <c r="E240" s="3">
        <v>4.5999999999999996</v>
      </c>
      <c r="F240" s="3">
        <v>141.995</v>
      </c>
      <c r="G240" s="3">
        <v>4.5999999999999996</v>
      </c>
      <c r="H240" s="3" t="s">
        <v>235</v>
      </c>
      <c r="I240" s="3">
        <v>5</v>
      </c>
      <c r="J240" s="4" t="s">
        <v>103</v>
      </c>
      <c r="K240" s="4"/>
      <c r="M240" s="3"/>
      <c r="N240" s="3"/>
      <c r="O240" s="3"/>
      <c r="P240" s="3"/>
      <c r="Q240" s="3"/>
      <c r="R240" s="3"/>
      <c r="S240" s="3"/>
      <c r="U240" s="3"/>
      <c r="V240" s="3"/>
      <c r="W240" s="3"/>
      <c r="X240" s="3"/>
      <c r="Y240" s="3"/>
      <c r="Z240" s="3"/>
      <c r="AA240" s="3"/>
    </row>
    <row r="241" spans="2:27" x14ac:dyDescent="0.25">
      <c r="B241" s="3" t="s">
        <v>234</v>
      </c>
      <c r="C241" s="3" t="s">
        <v>235</v>
      </c>
      <c r="D241" s="3">
        <v>141.995</v>
      </c>
      <c r="E241" s="3">
        <v>4.5999999999999996</v>
      </c>
      <c r="F241" s="3">
        <v>150.107</v>
      </c>
      <c r="G241" s="3">
        <v>8.9</v>
      </c>
      <c r="H241" s="3" t="s">
        <v>235</v>
      </c>
      <c r="I241" s="3">
        <v>5</v>
      </c>
      <c r="J241" s="4" t="s">
        <v>103</v>
      </c>
      <c r="K241" s="4"/>
      <c r="M241" s="3"/>
      <c r="N241" s="3"/>
      <c r="O241" s="3"/>
      <c r="P241" s="3"/>
      <c r="Q241" s="3"/>
      <c r="R241" s="3"/>
      <c r="S241" s="3"/>
      <c r="U241" s="3"/>
      <c r="V241" s="3"/>
      <c r="W241" s="3"/>
      <c r="X241" s="3"/>
      <c r="Y241" s="3"/>
      <c r="Z241" s="3"/>
      <c r="AA241" s="3"/>
    </row>
    <row r="242" spans="2:27" x14ac:dyDescent="0.25">
      <c r="B242" s="3" t="s">
        <v>234</v>
      </c>
      <c r="C242" s="3" t="s">
        <v>235</v>
      </c>
      <c r="D242" s="3">
        <v>150.107</v>
      </c>
      <c r="E242" s="3">
        <v>8.9</v>
      </c>
      <c r="F242" s="3">
        <v>93.376999999999995</v>
      </c>
      <c r="G242" s="3">
        <v>8.9</v>
      </c>
      <c r="H242" s="3" t="s">
        <v>235</v>
      </c>
      <c r="I242" s="3">
        <v>5</v>
      </c>
      <c r="J242" s="4" t="s">
        <v>103</v>
      </c>
      <c r="K242" s="4"/>
      <c r="M242" s="3"/>
      <c r="N242" s="3"/>
      <c r="O242" s="3"/>
      <c r="P242" s="3"/>
      <c r="Q242" s="3"/>
      <c r="R242" s="3"/>
      <c r="S242" s="3"/>
      <c r="U242" s="3"/>
      <c r="V242" s="3"/>
      <c r="W242" s="3"/>
      <c r="X242" s="3"/>
      <c r="Y242" s="3"/>
      <c r="Z242" s="3"/>
      <c r="AA242" s="3"/>
    </row>
    <row r="243" spans="2:27" x14ac:dyDescent="0.25">
      <c r="B243" s="3" t="s">
        <v>234</v>
      </c>
      <c r="C243" s="3" t="s">
        <v>235</v>
      </c>
      <c r="D243" s="3">
        <v>93.376999999999995</v>
      </c>
      <c r="E243" s="3">
        <v>8.9</v>
      </c>
      <c r="F243" s="3">
        <v>102.995</v>
      </c>
      <c r="G243" s="3">
        <v>5.4</v>
      </c>
      <c r="H243" s="3" t="s">
        <v>235</v>
      </c>
      <c r="I243" s="3">
        <v>5</v>
      </c>
      <c r="J243" s="4" t="s">
        <v>103</v>
      </c>
      <c r="K243" s="4"/>
      <c r="M243" s="3"/>
      <c r="N243" s="3"/>
      <c r="O243" s="3"/>
      <c r="P243" s="3"/>
      <c r="Q243" s="3"/>
      <c r="R243" s="3"/>
      <c r="S243" s="3"/>
      <c r="U243" s="3"/>
      <c r="V243" s="3"/>
      <c r="W243" s="3"/>
      <c r="X243" s="3"/>
      <c r="Y243" s="3"/>
      <c r="Z243" s="3"/>
      <c r="AA243" s="3"/>
    </row>
    <row r="244" spans="2:27" x14ac:dyDescent="0.25">
      <c r="B244" s="3" t="s">
        <v>244</v>
      </c>
      <c r="C244" s="3" t="s">
        <v>235</v>
      </c>
      <c r="D244" s="3">
        <v>128.495</v>
      </c>
      <c r="E244" s="3">
        <v>5.4</v>
      </c>
      <c r="F244" s="3">
        <v>103.495</v>
      </c>
      <c r="G244" s="3">
        <v>5.4</v>
      </c>
      <c r="H244" s="3" t="s">
        <v>235</v>
      </c>
      <c r="I244" s="3">
        <v>6</v>
      </c>
      <c r="J244" s="4" t="s">
        <v>103</v>
      </c>
      <c r="K244" s="4"/>
      <c r="M244" s="3"/>
      <c r="N244" s="3"/>
      <c r="O244" s="3"/>
      <c r="P244" s="3"/>
      <c r="Q244" s="3"/>
      <c r="R244" s="3"/>
      <c r="S244" s="3"/>
      <c r="U244" s="3"/>
      <c r="V244" s="3"/>
      <c r="W244" s="3"/>
      <c r="X244" s="3"/>
      <c r="Y244" s="3"/>
      <c r="Z244" s="3"/>
      <c r="AA244" s="3"/>
    </row>
    <row r="245" spans="2:27" x14ac:dyDescent="0.25">
      <c r="B245" s="3" t="s">
        <v>244</v>
      </c>
      <c r="C245" s="3" t="s">
        <v>235</v>
      </c>
      <c r="D245" s="3">
        <v>103.495</v>
      </c>
      <c r="E245" s="3">
        <v>5.4</v>
      </c>
      <c r="F245" s="3">
        <v>103.495</v>
      </c>
      <c r="G245" s="3">
        <v>4.2</v>
      </c>
      <c r="H245" s="3" t="s">
        <v>235</v>
      </c>
      <c r="I245" s="3">
        <v>6</v>
      </c>
      <c r="J245" s="4" t="s">
        <v>103</v>
      </c>
      <c r="K245" s="4"/>
      <c r="M245" s="3"/>
      <c r="N245" s="3"/>
      <c r="O245" s="3"/>
      <c r="P245" s="3"/>
      <c r="Q245" s="3"/>
      <c r="R245" s="3"/>
      <c r="S245" s="3"/>
      <c r="U245" s="3"/>
      <c r="V245" s="3"/>
      <c r="W245" s="3"/>
      <c r="X245" s="3"/>
      <c r="Y245" s="3"/>
      <c r="Z245" s="3"/>
      <c r="AA245" s="3"/>
    </row>
    <row r="246" spans="2:27" x14ac:dyDescent="0.25">
      <c r="B246" s="3" t="s">
        <v>244</v>
      </c>
      <c r="C246" s="3" t="s">
        <v>235</v>
      </c>
      <c r="D246" s="3">
        <v>103.495</v>
      </c>
      <c r="E246" s="3">
        <v>4.2</v>
      </c>
      <c r="F246" s="3">
        <v>131.52799999999999</v>
      </c>
      <c r="G246" s="3">
        <v>-2.9529999999999998</v>
      </c>
      <c r="H246" s="3" t="s">
        <v>235</v>
      </c>
      <c r="I246" s="3">
        <v>6</v>
      </c>
      <c r="J246" s="4" t="s">
        <v>103</v>
      </c>
      <c r="K246" s="4"/>
      <c r="M246" s="3"/>
      <c r="N246" s="3"/>
      <c r="O246" s="3"/>
      <c r="P246" s="3"/>
      <c r="Q246" s="3"/>
      <c r="R246" s="3"/>
      <c r="S246" s="3"/>
    </row>
    <row r="247" spans="2:27" x14ac:dyDescent="0.25">
      <c r="B247" s="3" t="s">
        <v>244</v>
      </c>
      <c r="C247" s="3" t="s">
        <v>235</v>
      </c>
      <c r="D247" s="3">
        <v>131.52799999999999</v>
      </c>
      <c r="E247" s="3">
        <v>-2.9529999999999998</v>
      </c>
      <c r="F247" s="3">
        <v>131.52799999999999</v>
      </c>
      <c r="G247" s="3">
        <v>3.9940000000000002</v>
      </c>
      <c r="H247" s="3" t="s">
        <v>235</v>
      </c>
      <c r="I247" s="3">
        <v>6</v>
      </c>
      <c r="J247" s="4" t="s">
        <v>103</v>
      </c>
      <c r="K247" s="4"/>
      <c r="M247" s="3"/>
      <c r="N247" s="3"/>
      <c r="O247" s="3"/>
      <c r="P247" s="3"/>
      <c r="Q247" s="3"/>
      <c r="R247" s="3"/>
      <c r="S247" s="3"/>
    </row>
    <row r="248" spans="2:27" x14ac:dyDescent="0.25">
      <c r="B248" s="3" t="s">
        <v>244</v>
      </c>
      <c r="C248" s="3" t="s">
        <v>235</v>
      </c>
      <c r="D248" s="3">
        <v>131.52799999999999</v>
      </c>
      <c r="E248" s="3">
        <v>3.9940000000000002</v>
      </c>
      <c r="F248" s="3">
        <v>130.27799999999999</v>
      </c>
      <c r="G248" s="3">
        <v>3.9940000000000002</v>
      </c>
      <c r="H248" s="3" t="s">
        <v>235</v>
      </c>
      <c r="I248" s="3">
        <v>6</v>
      </c>
      <c r="J248" s="4" t="s">
        <v>103</v>
      </c>
      <c r="K248" s="4"/>
      <c r="M248" s="3"/>
      <c r="N248" s="3"/>
      <c r="O248" s="3"/>
      <c r="P248" s="3"/>
      <c r="Q248" s="3"/>
      <c r="R248" s="3"/>
      <c r="S248" s="3"/>
    </row>
    <row r="249" spans="2:27" x14ac:dyDescent="0.25">
      <c r="B249" s="3" t="s">
        <v>244</v>
      </c>
      <c r="C249" s="3" t="s">
        <v>235</v>
      </c>
      <c r="D249" s="3">
        <v>130.27799999999999</v>
      </c>
      <c r="E249" s="3">
        <v>3.9940000000000002</v>
      </c>
      <c r="F249" s="3">
        <v>128.495</v>
      </c>
      <c r="G249" s="3">
        <v>5.4</v>
      </c>
      <c r="H249" s="3" t="s">
        <v>235</v>
      </c>
      <c r="I249" s="3">
        <v>6</v>
      </c>
      <c r="J249" s="4" t="s">
        <v>103</v>
      </c>
      <c r="K249" s="4"/>
      <c r="M249" s="3"/>
      <c r="N249" s="3"/>
      <c r="O249" s="3"/>
      <c r="P249" s="3"/>
      <c r="Q249" s="3"/>
      <c r="R249" s="3"/>
      <c r="S249" s="3"/>
    </row>
    <row r="250" spans="2:27" x14ac:dyDescent="0.25">
      <c r="B250" s="3" t="s">
        <v>245</v>
      </c>
      <c r="C250" s="3" t="s">
        <v>235</v>
      </c>
      <c r="D250" s="3">
        <v>133.495</v>
      </c>
      <c r="E250" s="3">
        <v>4.5999999999999996</v>
      </c>
      <c r="F250" s="3">
        <v>138.995</v>
      </c>
      <c r="G250" s="3">
        <v>4.5999999999999996</v>
      </c>
      <c r="H250" s="3" t="s">
        <v>235</v>
      </c>
      <c r="I250" s="3">
        <v>7</v>
      </c>
      <c r="J250" s="4" t="s">
        <v>103</v>
      </c>
      <c r="K250" s="4"/>
      <c r="M250" s="3"/>
      <c r="N250" s="3"/>
      <c r="O250" s="3"/>
      <c r="P250" s="3"/>
      <c r="Q250" s="3"/>
      <c r="R250" s="3"/>
      <c r="S250" s="3"/>
    </row>
    <row r="251" spans="2:27" x14ac:dyDescent="0.25">
      <c r="B251" s="3" t="s">
        <v>245</v>
      </c>
      <c r="C251" s="3" t="s">
        <v>235</v>
      </c>
      <c r="D251" s="3">
        <v>138.995</v>
      </c>
      <c r="E251" s="3">
        <v>4.5999999999999996</v>
      </c>
      <c r="F251" s="3">
        <v>138.995</v>
      </c>
      <c r="G251" s="3">
        <v>8.9</v>
      </c>
      <c r="H251" s="3" t="s">
        <v>235</v>
      </c>
      <c r="I251" s="3">
        <v>7</v>
      </c>
      <c r="J251" s="4" t="s">
        <v>103</v>
      </c>
      <c r="K251" s="4"/>
      <c r="M251" s="3"/>
      <c r="N251" s="3"/>
      <c r="O251" s="3"/>
      <c r="P251" s="3"/>
      <c r="Q251" s="3"/>
      <c r="R251" s="3"/>
      <c r="S251" s="3"/>
    </row>
    <row r="252" spans="2:27" x14ac:dyDescent="0.25">
      <c r="B252" s="3" t="s">
        <v>245</v>
      </c>
      <c r="C252" s="3" t="s">
        <v>235</v>
      </c>
      <c r="D252" s="3">
        <v>138.995</v>
      </c>
      <c r="E252" s="3">
        <v>8.9</v>
      </c>
      <c r="F252" s="3">
        <v>156.43299999999999</v>
      </c>
      <c r="G252" s="3">
        <v>8.9</v>
      </c>
      <c r="H252" s="3" t="s">
        <v>235</v>
      </c>
      <c r="I252" s="3">
        <v>7</v>
      </c>
      <c r="J252" s="4" t="s">
        <v>103</v>
      </c>
      <c r="K252" s="4"/>
      <c r="M252" s="3"/>
      <c r="N252" s="3"/>
      <c r="O252" s="3"/>
      <c r="P252" s="3"/>
      <c r="Q252" s="3"/>
      <c r="R252" s="3"/>
      <c r="S252" s="3"/>
    </row>
    <row r="253" spans="2:27" x14ac:dyDescent="0.25">
      <c r="B253" s="3" t="s">
        <v>245</v>
      </c>
      <c r="C253" s="3" t="s">
        <v>235</v>
      </c>
      <c r="D253" s="3">
        <v>156.43299999999999</v>
      </c>
      <c r="E253" s="3">
        <v>8.9</v>
      </c>
      <c r="F253" s="3">
        <v>170</v>
      </c>
      <c r="G253" s="3">
        <v>5</v>
      </c>
      <c r="H253" s="3" t="s">
        <v>235</v>
      </c>
      <c r="I253" s="3">
        <v>7</v>
      </c>
      <c r="J253" s="4" t="s">
        <v>103</v>
      </c>
      <c r="K253" s="4"/>
      <c r="M253" s="3"/>
      <c r="N253" s="3"/>
      <c r="O253" s="3"/>
      <c r="P253" s="3"/>
      <c r="Q253" s="3"/>
      <c r="R253" s="3"/>
      <c r="S253" s="3"/>
    </row>
    <row r="254" spans="2:27" x14ac:dyDescent="0.25">
      <c r="B254" s="3" t="s">
        <v>245</v>
      </c>
      <c r="C254" s="3" t="s">
        <v>235</v>
      </c>
      <c r="D254" s="3">
        <v>170</v>
      </c>
      <c r="E254" s="3">
        <v>5</v>
      </c>
      <c r="F254" s="3">
        <v>175.279</v>
      </c>
      <c r="G254" s="3">
        <v>3.9969999999999999</v>
      </c>
      <c r="H254" s="3" t="s">
        <v>235</v>
      </c>
      <c r="I254" s="3">
        <v>7</v>
      </c>
      <c r="J254" s="4" t="s">
        <v>103</v>
      </c>
      <c r="K254" s="4"/>
      <c r="M254" s="3"/>
      <c r="N254" s="3"/>
      <c r="O254" s="3"/>
      <c r="P254" s="3"/>
      <c r="Q254" s="3"/>
      <c r="R254" s="3"/>
      <c r="S254" s="3"/>
    </row>
    <row r="255" spans="2:27" x14ac:dyDescent="0.25">
      <c r="B255" s="3" t="s">
        <v>245</v>
      </c>
      <c r="C255" s="3" t="s">
        <v>235</v>
      </c>
      <c r="D255" s="3">
        <v>175.279</v>
      </c>
      <c r="E255" s="3">
        <v>3.9969999999999999</v>
      </c>
      <c r="F255" s="3">
        <v>179.86799999999999</v>
      </c>
      <c r="G255" s="3">
        <v>1.67</v>
      </c>
      <c r="H255" s="3" t="s">
        <v>235</v>
      </c>
      <c r="I255" s="3">
        <v>7</v>
      </c>
      <c r="J255" s="4" t="s">
        <v>103</v>
      </c>
      <c r="K255" s="4"/>
      <c r="M255" s="3"/>
      <c r="N255" s="3"/>
      <c r="O255" s="3"/>
      <c r="P255" s="3"/>
      <c r="Q255" s="3"/>
      <c r="R255" s="3"/>
      <c r="S255" s="3"/>
    </row>
    <row r="256" spans="2:27" x14ac:dyDescent="0.25">
      <c r="B256" s="3" t="s">
        <v>245</v>
      </c>
      <c r="C256" s="3" t="s">
        <v>235</v>
      </c>
      <c r="D256" s="3">
        <v>179.86799999999999</v>
      </c>
      <c r="E256" s="3">
        <v>1.67</v>
      </c>
      <c r="F256" s="3">
        <v>186.071</v>
      </c>
      <c r="G256" s="3">
        <v>-1.9850000000000001</v>
      </c>
      <c r="H256" s="3" t="s">
        <v>235</v>
      </c>
      <c r="I256" s="3">
        <v>7</v>
      </c>
      <c r="J256" s="4" t="s">
        <v>103</v>
      </c>
      <c r="K256" s="4"/>
      <c r="M256" s="3"/>
      <c r="N256" s="3"/>
      <c r="O256" s="3"/>
      <c r="P256" s="3"/>
      <c r="Q256" s="3"/>
      <c r="R256" s="3"/>
      <c r="S256" s="3"/>
    </row>
    <row r="257" spans="2:19" x14ac:dyDescent="0.25">
      <c r="B257" s="3" t="s">
        <v>245</v>
      </c>
      <c r="C257" s="3" t="s">
        <v>235</v>
      </c>
      <c r="D257" s="3">
        <v>186.071</v>
      </c>
      <c r="E257" s="3">
        <v>-1.9850000000000001</v>
      </c>
      <c r="F257" s="3">
        <v>191.06700000000001</v>
      </c>
      <c r="G257" s="3">
        <v>-5.5519999999999996</v>
      </c>
      <c r="H257" s="3" t="s">
        <v>235</v>
      </c>
      <c r="I257" s="3">
        <v>7</v>
      </c>
      <c r="J257" s="4" t="s">
        <v>103</v>
      </c>
      <c r="K257" s="4"/>
      <c r="M257" s="3"/>
      <c r="N257" s="3"/>
      <c r="O257" s="3"/>
      <c r="P257" s="3"/>
      <c r="Q257" s="3"/>
      <c r="R257" s="3"/>
      <c r="S257" s="3"/>
    </row>
    <row r="258" spans="2:19" x14ac:dyDescent="0.25">
      <c r="B258" s="3" t="s">
        <v>245</v>
      </c>
      <c r="C258" s="3" t="s">
        <v>235</v>
      </c>
      <c r="D258" s="3">
        <v>191.06700000000001</v>
      </c>
      <c r="E258" s="3">
        <v>-5.5519999999999996</v>
      </c>
      <c r="F258" s="3">
        <v>131.52799999999999</v>
      </c>
      <c r="G258" s="3">
        <v>-2.9529999999999998</v>
      </c>
      <c r="H258" s="3" t="s">
        <v>235</v>
      </c>
      <c r="I258" s="3">
        <v>7</v>
      </c>
      <c r="J258" s="4" t="s">
        <v>103</v>
      </c>
      <c r="K258" s="4"/>
      <c r="M258" s="3"/>
      <c r="N258" s="3"/>
      <c r="O258" s="3"/>
      <c r="P258" s="3"/>
      <c r="Q258" s="3"/>
      <c r="R258" s="3"/>
      <c r="S258" s="3"/>
    </row>
    <row r="259" spans="2:19" x14ac:dyDescent="0.25">
      <c r="B259" s="3" t="s">
        <v>245</v>
      </c>
      <c r="C259" s="3" t="s">
        <v>235</v>
      </c>
      <c r="D259" s="3">
        <v>131.52799999999999</v>
      </c>
      <c r="E259" s="3">
        <v>-2.9529999999999998</v>
      </c>
      <c r="F259" s="3">
        <v>131.52799999999999</v>
      </c>
      <c r="G259" s="3">
        <v>3.9940000000000002</v>
      </c>
      <c r="H259" s="3" t="s">
        <v>235</v>
      </c>
      <c r="I259" s="3">
        <v>7</v>
      </c>
      <c r="J259" s="4" t="s">
        <v>103</v>
      </c>
      <c r="K259" s="4"/>
      <c r="M259" s="3"/>
      <c r="N259" s="3"/>
      <c r="O259" s="3"/>
      <c r="P259" s="3"/>
      <c r="Q259" s="3"/>
      <c r="R259" s="3"/>
      <c r="S259" s="3"/>
    </row>
    <row r="260" spans="2:19" x14ac:dyDescent="0.25">
      <c r="B260" s="3" t="s">
        <v>245</v>
      </c>
      <c r="C260" s="3" t="s">
        <v>235</v>
      </c>
      <c r="D260" s="3">
        <v>131.52799999999999</v>
      </c>
      <c r="E260" s="3">
        <v>3.9940000000000002</v>
      </c>
      <c r="F260" s="3">
        <v>132.77799999999999</v>
      </c>
      <c r="G260" s="3">
        <v>3.9940000000000002</v>
      </c>
      <c r="H260" s="3" t="s">
        <v>235</v>
      </c>
      <c r="I260" s="3">
        <v>7</v>
      </c>
      <c r="J260" s="4" t="s">
        <v>103</v>
      </c>
      <c r="K260" s="4"/>
      <c r="M260" s="3"/>
      <c r="N260" s="3"/>
      <c r="O260" s="3"/>
      <c r="P260" s="3"/>
      <c r="Q260" s="3"/>
      <c r="R260" s="3"/>
      <c r="S260" s="3"/>
    </row>
    <row r="261" spans="2:19" x14ac:dyDescent="0.25">
      <c r="B261" s="3" t="s">
        <v>245</v>
      </c>
      <c r="C261" s="3" t="s">
        <v>235</v>
      </c>
      <c r="D261" s="3">
        <v>132.77799999999999</v>
      </c>
      <c r="E261" s="3">
        <v>3.9940000000000002</v>
      </c>
      <c r="F261" s="3">
        <v>133.495</v>
      </c>
      <c r="G261" s="3">
        <v>4.5999999999999996</v>
      </c>
      <c r="H261" s="3" t="s">
        <v>235</v>
      </c>
      <c r="I261" s="3">
        <v>7</v>
      </c>
      <c r="J261" s="4" t="s">
        <v>103</v>
      </c>
      <c r="K261" s="4"/>
      <c r="M261" s="3"/>
      <c r="N261" s="3"/>
      <c r="O261" s="3"/>
      <c r="P261" s="3"/>
      <c r="Q261" s="3"/>
      <c r="R261" s="3"/>
      <c r="S261" s="3"/>
    </row>
    <row r="262" spans="2:19" x14ac:dyDescent="0.25">
      <c r="B262" s="3" t="s">
        <v>246</v>
      </c>
      <c r="C262" s="3" t="s">
        <v>235</v>
      </c>
      <c r="D262" s="3">
        <v>170</v>
      </c>
      <c r="E262" s="3">
        <v>5</v>
      </c>
      <c r="F262" s="3">
        <v>175.279</v>
      </c>
      <c r="G262" s="3">
        <v>3.9969999999999999</v>
      </c>
      <c r="H262" s="3" t="s">
        <v>235</v>
      </c>
      <c r="I262" s="3">
        <v>8</v>
      </c>
      <c r="J262" s="4" t="s">
        <v>103</v>
      </c>
      <c r="K262" s="4"/>
      <c r="M262" s="3"/>
      <c r="N262" s="3"/>
      <c r="O262" s="3"/>
      <c r="P262" s="3"/>
      <c r="Q262" s="3"/>
      <c r="R262" s="3"/>
      <c r="S262" s="3"/>
    </row>
    <row r="263" spans="2:19" x14ac:dyDescent="0.25">
      <c r="B263" s="3" t="s">
        <v>246</v>
      </c>
      <c r="C263" s="3" t="s">
        <v>235</v>
      </c>
      <c r="D263" s="3">
        <v>175.279</v>
      </c>
      <c r="E263" s="3">
        <v>3.9969999999999999</v>
      </c>
      <c r="F263" s="3">
        <v>179.86799999999999</v>
      </c>
      <c r="G263" s="3">
        <v>1.67</v>
      </c>
      <c r="H263" s="3" t="s">
        <v>235</v>
      </c>
      <c r="I263" s="3">
        <v>8</v>
      </c>
      <c r="J263" s="4" t="s">
        <v>103</v>
      </c>
      <c r="K263" s="4"/>
      <c r="M263" s="3"/>
      <c r="N263" s="3"/>
      <c r="O263" s="3"/>
      <c r="P263" s="3"/>
      <c r="Q263" s="3"/>
      <c r="R263" s="3"/>
      <c r="S263" s="3"/>
    </row>
    <row r="264" spans="2:19" x14ac:dyDescent="0.25">
      <c r="B264" s="3" t="s">
        <v>246</v>
      </c>
      <c r="C264" s="3" t="s">
        <v>235</v>
      </c>
      <c r="D264" s="3">
        <v>179.86799999999999</v>
      </c>
      <c r="E264" s="3">
        <v>1.67</v>
      </c>
      <c r="F264" s="3">
        <v>186.071</v>
      </c>
      <c r="G264" s="3">
        <v>-1.9850000000000001</v>
      </c>
      <c r="H264" s="3" t="s">
        <v>235</v>
      </c>
      <c r="I264" s="3">
        <v>8</v>
      </c>
      <c r="J264" s="4" t="s">
        <v>103</v>
      </c>
      <c r="K264" s="4"/>
      <c r="M264" s="3"/>
      <c r="N264" s="3"/>
      <c r="O264" s="3"/>
      <c r="P264" s="3"/>
      <c r="Q264" s="3"/>
      <c r="R264" s="3"/>
      <c r="S264" s="3"/>
    </row>
    <row r="265" spans="2:19" x14ac:dyDescent="0.25">
      <c r="B265" s="3" t="s">
        <v>246</v>
      </c>
      <c r="C265" s="3" t="s">
        <v>235</v>
      </c>
      <c r="D265" s="3">
        <v>186.071</v>
      </c>
      <c r="E265" s="3">
        <v>-1.9850000000000001</v>
      </c>
      <c r="F265" s="3">
        <v>191.06700000000001</v>
      </c>
      <c r="G265" s="3">
        <v>-5.5519999999999996</v>
      </c>
      <c r="H265" s="3" t="s">
        <v>235</v>
      </c>
      <c r="I265" s="3">
        <v>8</v>
      </c>
      <c r="J265" s="4" t="s">
        <v>103</v>
      </c>
      <c r="K265" s="4"/>
      <c r="M265" s="3"/>
      <c r="N265" s="3"/>
      <c r="O265" s="3"/>
      <c r="P265" s="3"/>
      <c r="Q265" s="3"/>
      <c r="R265" s="3"/>
      <c r="S265" s="3"/>
    </row>
    <row r="266" spans="2:19" x14ac:dyDescent="0.25">
      <c r="B266" s="3" t="s">
        <v>246</v>
      </c>
      <c r="C266" s="3" t="s">
        <v>235</v>
      </c>
      <c r="D266" s="3">
        <v>191.06700000000001</v>
      </c>
      <c r="E266" s="3">
        <v>-5.5519999999999996</v>
      </c>
      <c r="F266" s="3">
        <v>197.84100000000001</v>
      </c>
      <c r="G266" s="3">
        <v>-8.7430000000000003</v>
      </c>
      <c r="H266" s="3" t="s">
        <v>235</v>
      </c>
      <c r="I266" s="3">
        <v>8</v>
      </c>
      <c r="J266" s="4" t="s">
        <v>103</v>
      </c>
      <c r="K266" s="4"/>
      <c r="M266" s="3"/>
      <c r="N266" s="3"/>
      <c r="O266" s="3"/>
      <c r="P266" s="3"/>
      <c r="Q266" s="3"/>
      <c r="R266" s="3"/>
      <c r="S266" s="3"/>
    </row>
    <row r="267" spans="2:19" x14ac:dyDescent="0.25">
      <c r="B267" s="3" t="s">
        <v>246</v>
      </c>
      <c r="C267" s="3" t="s">
        <v>235</v>
      </c>
      <c r="D267" s="3">
        <v>197.84100000000001</v>
      </c>
      <c r="E267" s="3">
        <v>-8.7430000000000003</v>
      </c>
      <c r="F267" s="3">
        <v>211.739</v>
      </c>
      <c r="G267" s="3">
        <v>-13.909000000000001</v>
      </c>
      <c r="H267" s="3" t="s">
        <v>235</v>
      </c>
      <c r="I267" s="3">
        <v>8</v>
      </c>
      <c r="J267" s="4" t="s">
        <v>103</v>
      </c>
      <c r="K267" s="4"/>
      <c r="M267" s="3"/>
      <c r="N267" s="3"/>
      <c r="O267" s="3"/>
      <c r="P267" s="3"/>
      <c r="Q267" s="3"/>
      <c r="R267" s="3"/>
      <c r="S267" s="3"/>
    </row>
    <row r="268" spans="2:19" x14ac:dyDescent="0.25">
      <c r="B268" s="3" t="s">
        <v>246</v>
      </c>
      <c r="C268" s="3" t="s">
        <v>235</v>
      </c>
      <c r="D268" s="3">
        <v>211.739</v>
      </c>
      <c r="E268" s="3">
        <v>-13.909000000000001</v>
      </c>
      <c r="F268" s="3">
        <v>240</v>
      </c>
      <c r="G268" s="3">
        <v>-21.349</v>
      </c>
      <c r="H268" s="3" t="s">
        <v>235</v>
      </c>
      <c r="I268" s="3">
        <v>8</v>
      </c>
      <c r="J268" s="4" t="s">
        <v>103</v>
      </c>
      <c r="K268" s="4"/>
      <c r="M268" s="3"/>
      <c r="N268" s="3"/>
      <c r="O268" s="3"/>
      <c r="P268" s="3"/>
      <c r="Q268" s="3"/>
      <c r="R268" s="3"/>
      <c r="S268" s="3"/>
    </row>
    <row r="269" spans="2:19" x14ac:dyDescent="0.25">
      <c r="B269" s="3" t="s">
        <v>246</v>
      </c>
      <c r="C269" s="3" t="s">
        <v>235</v>
      </c>
      <c r="D269" s="3">
        <v>240</v>
      </c>
      <c r="E269" s="3">
        <v>-21.349</v>
      </c>
      <c r="F269" s="3">
        <v>240</v>
      </c>
      <c r="G269" s="3">
        <v>5</v>
      </c>
      <c r="H269" s="3" t="s">
        <v>235</v>
      </c>
      <c r="I269" s="3">
        <v>8</v>
      </c>
      <c r="J269" s="4" t="s">
        <v>103</v>
      </c>
      <c r="K269" s="4"/>
      <c r="M269" s="3"/>
      <c r="N269" s="3"/>
      <c r="O269" s="3"/>
      <c r="P269" s="3"/>
      <c r="Q269" s="3"/>
      <c r="R269" s="3"/>
      <c r="S269" s="3"/>
    </row>
    <row r="270" spans="2:19" x14ac:dyDescent="0.25">
      <c r="B270" s="3" t="s">
        <v>246</v>
      </c>
      <c r="C270" s="3" t="s">
        <v>235</v>
      </c>
      <c r="D270" s="3">
        <v>240</v>
      </c>
      <c r="E270" s="3">
        <v>5</v>
      </c>
      <c r="F270" s="3">
        <v>170</v>
      </c>
      <c r="G270" s="3">
        <v>5</v>
      </c>
      <c r="H270" s="3" t="s">
        <v>235</v>
      </c>
      <c r="I270" s="3">
        <v>8</v>
      </c>
      <c r="J270" s="4" t="s">
        <v>103</v>
      </c>
      <c r="K270" s="4"/>
      <c r="M270" s="3"/>
      <c r="N270" s="3"/>
      <c r="O270" s="3"/>
      <c r="P270" s="3"/>
      <c r="Q270" s="3"/>
      <c r="R270" s="3"/>
      <c r="S270" s="3"/>
    </row>
    <row r="271" spans="2:19" x14ac:dyDescent="0.25">
      <c r="B271" s="3" t="s">
        <v>247</v>
      </c>
      <c r="C271" s="3" t="s">
        <v>235</v>
      </c>
      <c r="D271" s="3">
        <v>170</v>
      </c>
      <c r="E271" s="3">
        <v>5</v>
      </c>
      <c r="F271" s="3">
        <v>175.279</v>
      </c>
      <c r="G271" s="3">
        <v>3.9969999999999999</v>
      </c>
      <c r="H271" s="3" t="s">
        <v>235</v>
      </c>
      <c r="I271" s="3">
        <v>9</v>
      </c>
      <c r="J271" s="4" t="s">
        <v>103</v>
      </c>
      <c r="K271" s="4"/>
      <c r="M271" s="3"/>
      <c r="N271" s="3"/>
      <c r="O271" s="3"/>
      <c r="P271" s="3"/>
      <c r="Q271" s="3"/>
      <c r="R271" s="3"/>
      <c r="S271" s="3"/>
    </row>
    <row r="272" spans="2:19" x14ac:dyDescent="0.25">
      <c r="B272" s="3" t="s">
        <v>247</v>
      </c>
      <c r="C272" s="3" t="s">
        <v>235</v>
      </c>
      <c r="D272" s="3">
        <v>175.279</v>
      </c>
      <c r="E272" s="3">
        <v>3.9969999999999999</v>
      </c>
      <c r="F272" s="3">
        <v>179.86799999999999</v>
      </c>
      <c r="G272" s="3">
        <v>1.67</v>
      </c>
      <c r="H272" s="3" t="s">
        <v>235</v>
      </c>
      <c r="I272" s="3">
        <v>9</v>
      </c>
      <c r="J272" s="4" t="s">
        <v>103</v>
      </c>
      <c r="K272" s="4"/>
      <c r="M272" s="3"/>
      <c r="N272" s="3"/>
      <c r="O272" s="3"/>
      <c r="P272" s="3"/>
      <c r="Q272" s="3"/>
      <c r="R272" s="3"/>
      <c r="S272" s="3"/>
    </row>
    <row r="273" spans="2:19" x14ac:dyDescent="0.25">
      <c r="B273" s="3" t="s">
        <v>247</v>
      </c>
      <c r="C273" s="3" t="s">
        <v>235</v>
      </c>
      <c r="D273" s="3">
        <v>179.86799999999999</v>
      </c>
      <c r="E273" s="3">
        <v>1.67</v>
      </c>
      <c r="F273" s="3">
        <v>186.071</v>
      </c>
      <c r="G273" s="3">
        <v>-1.9850000000000001</v>
      </c>
      <c r="H273" s="3" t="s">
        <v>235</v>
      </c>
      <c r="I273" s="3">
        <v>9</v>
      </c>
      <c r="J273" s="4" t="s">
        <v>103</v>
      </c>
      <c r="K273" s="4"/>
      <c r="M273" s="3"/>
      <c r="N273" s="3"/>
      <c r="O273" s="3"/>
      <c r="P273" s="3"/>
      <c r="Q273" s="3"/>
      <c r="R273" s="3"/>
      <c r="S273" s="3"/>
    </row>
    <row r="274" spans="2:19" x14ac:dyDescent="0.25">
      <c r="B274" s="3" t="s">
        <v>247</v>
      </c>
      <c r="C274" s="3" t="s">
        <v>235</v>
      </c>
      <c r="D274" s="3">
        <v>186.071</v>
      </c>
      <c r="E274" s="3">
        <v>-1.9850000000000001</v>
      </c>
      <c r="F274" s="3">
        <v>191.06700000000001</v>
      </c>
      <c r="G274" s="3">
        <v>-5.5519999999999996</v>
      </c>
      <c r="H274" s="3" t="s">
        <v>235</v>
      </c>
      <c r="I274" s="3">
        <v>9</v>
      </c>
      <c r="J274" s="4" t="s">
        <v>103</v>
      </c>
      <c r="K274" s="4"/>
      <c r="M274" s="3"/>
      <c r="N274" s="3"/>
      <c r="O274" s="3"/>
      <c r="P274" s="3"/>
      <c r="Q274" s="3"/>
      <c r="R274" s="3"/>
      <c r="S274" s="3"/>
    </row>
    <row r="275" spans="2:19" x14ac:dyDescent="0.25">
      <c r="B275" s="41" t="s">
        <v>247</v>
      </c>
      <c r="C275" s="41" t="s">
        <v>235</v>
      </c>
      <c r="D275" s="41">
        <v>191.06700000000001</v>
      </c>
      <c r="E275" s="41">
        <v>-5.5519999999999996</v>
      </c>
      <c r="F275" s="41">
        <v>197.84100000000001</v>
      </c>
      <c r="G275" s="41">
        <v>-8.7430000000000003</v>
      </c>
      <c r="H275" s="41" t="s">
        <v>235</v>
      </c>
      <c r="I275" s="41">
        <v>9</v>
      </c>
      <c r="J275" s="4" t="s">
        <v>103</v>
      </c>
      <c r="K275" s="4"/>
      <c r="M275" s="3"/>
      <c r="N275" s="3"/>
      <c r="O275" s="3"/>
      <c r="P275" s="3"/>
      <c r="Q275" s="3"/>
      <c r="R275" s="3"/>
      <c r="S275" s="3"/>
    </row>
    <row r="276" spans="2:19" x14ac:dyDescent="0.25">
      <c r="B276" s="3" t="s">
        <v>247</v>
      </c>
      <c r="C276" s="3" t="s">
        <v>235</v>
      </c>
      <c r="D276" s="3">
        <v>197.84100000000001</v>
      </c>
      <c r="E276" s="3">
        <v>-8.7430000000000003</v>
      </c>
      <c r="F276" s="3">
        <v>211.739</v>
      </c>
      <c r="G276" s="3">
        <v>-13.909000000000001</v>
      </c>
      <c r="H276" s="3" t="s">
        <v>235</v>
      </c>
      <c r="I276" s="3">
        <v>9</v>
      </c>
      <c r="J276" s="4" t="s">
        <v>103</v>
      </c>
      <c r="K276" s="4"/>
      <c r="M276" s="3"/>
      <c r="N276" s="3"/>
      <c r="O276" s="3"/>
      <c r="P276" s="3"/>
      <c r="Q276" s="3"/>
      <c r="R276" s="3"/>
      <c r="S276" s="3"/>
    </row>
    <row r="277" spans="2:19" x14ac:dyDescent="0.25">
      <c r="B277" s="3" t="s">
        <v>247</v>
      </c>
      <c r="C277" s="3" t="s">
        <v>235</v>
      </c>
      <c r="D277" s="3">
        <v>211.739</v>
      </c>
      <c r="E277" s="3">
        <v>-13.909000000000001</v>
      </c>
      <c r="F277" s="3">
        <v>240</v>
      </c>
      <c r="G277" s="3">
        <v>-21.349</v>
      </c>
      <c r="H277" s="3" t="s">
        <v>235</v>
      </c>
      <c r="I277" s="3">
        <v>9</v>
      </c>
      <c r="J277" s="4" t="s">
        <v>103</v>
      </c>
      <c r="K277" s="4"/>
      <c r="M277" s="3"/>
      <c r="N277" s="3"/>
      <c r="O277" s="3"/>
      <c r="P277" s="3"/>
      <c r="Q277" s="3"/>
      <c r="R277" s="3"/>
      <c r="S277" s="3"/>
    </row>
    <row r="278" spans="2:19" x14ac:dyDescent="0.25">
      <c r="B278" s="3" t="s">
        <v>247</v>
      </c>
      <c r="C278" s="3" t="s">
        <v>235</v>
      </c>
      <c r="D278" s="3">
        <v>240</v>
      </c>
      <c r="E278" s="3">
        <v>-21.349</v>
      </c>
      <c r="F278" s="3">
        <v>240</v>
      </c>
      <c r="G278" s="3">
        <v>-27.952999999999999</v>
      </c>
      <c r="H278" s="3" t="s">
        <v>235</v>
      </c>
      <c r="I278" s="3">
        <v>9</v>
      </c>
      <c r="J278" s="4" t="s">
        <v>103</v>
      </c>
      <c r="K278" s="4"/>
      <c r="M278" s="3"/>
      <c r="N278" s="3"/>
      <c r="O278" s="3"/>
      <c r="P278" s="3"/>
      <c r="Q278" s="3"/>
      <c r="R278" s="3"/>
      <c r="S278" s="3"/>
    </row>
    <row r="279" spans="2:19" x14ac:dyDescent="0.25">
      <c r="B279" s="3" t="s">
        <v>247</v>
      </c>
      <c r="C279" s="3" t="s">
        <v>235</v>
      </c>
      <c r="D279" s="3">
        <v>240</v>
      </c>
      <c r="E279" s="3">
        <v>-27.952999999999999</v>
      </c>
      <c r="F279" s="3">
        <v>131.52799999999999</v>
      </c>
      <c r="G279" s="3">
        <v>-27.952999999999999</v>
      </c>
      <c r="H279" s="3" t="s">
        <v>235</v>
      </c>
      <c r="I279" s="3">
        <v>9</v>
      </c>
      <c r="J279" s="4" t="s">
        <v>103</v>
      </c>
      <c r="K279" s="4"/>
      <c r="M279" s="3"/>
      <c r="N279" s="3"/>
      <c r="O279" s="3"/>
      <c r="P279" s="3"/>
      <c r="Q279" s="3"/>
      <c r="R279" s="3"/>
      <c r="S279" s="3"/>
    </row>
    <row r="280" spans="2:19" x14ac:dyDescent="0.25">
      <c r="B280" s="3" t="s">
        <v>247</v>
      </c>
      <c r="C280" s="3" t="s">
        <v>235</v>
      </c>
      <c r="D280" s="3">
        <v>131.52799999999999</v>
      </c>
      <c r="E280" s="3">
        <v>-27.952999999999999</v>
      </c>
      <c r="F280" s="3">
        <v>131.52799999999999</v>
      </c>
      <c r="G280" s="3">
        <v>3.9940000000000002</v>
      </c>
      <c r="H280" s="3" t="s">
        <v>235</v>
      </c>
      <c r="I280" s="3">
        <v>9</v>
      </c>
      <c r="J280" s="4" t="s">
        <v>103</v>
      </c>
      <c r="K280" s="4"/>
      <c r="M280" s="3"/>
      <c r="N280" s="3"/>
      <c r="O280" s="3"/>
      <c r="P280" s="3"/>
      <c r="Q280" s="3"/>
      <c r="R280" s="3"/>
      <c r="S280" s="3"/>
    </row>
    <row r="281" spans="2:19" x14ac:dyDescent="0.25">
      <c r="B281" s="3" t="s">
        <v>247</v>
      </c>
      <c r="C281" s="3" t="s">
        <v>235</v>
      </c>
      <c r="D281" s="3">
        <v>131.52799999999999</v>
      </c>
      <c r="E281" s="3">
        <v>3.9940000000000002</v>
      </c>
      <c r="F281" s="3">
        <v>132.77799999999999</v>
      </c>
      <c r="G281" s="3">
        <v>3.9940000000000002</v>
      </c>
      <c r="H281" s="3" t="s">
        <v>235</v>
      </c>
      <c r="I281" s="3">
        <v>9</v>
      </c>
      <c r="J281" s="4" t="s">
        <v>103</v>
      </c>
      <c r="K281" s="4"/>
      <c r="M281" s="3"/>
      <c r="N281" s="3"/>
      <c r="O281" s="3"/>
      <c r="P281" s="3"/>
      <c r="Q281" s="3"/>
      <c r="R281" s="3"/>
      <c r="S281" s="3"/>
    </row>
    <row r="282" spans="2:19" x14ac:dyDescent="0.25">
      <c r="B282" s="3" t="s">
        <v>247</v>
      </c>
      <c r="C282" s="3" t="s">
        <v>235</v>
      </c>
      <c r="D282" s="3">
        <v>132.77799999999999</v>
      </c>
      <c r="E282" s="3">
        <v>3.9940000000000002</v>
      </c>
      <c r="F282" s="3">
        <v>133.495</v>
      </c>
      <c r="G282" s="3">
        <v>4.5999999999999996</v>
      </c>
      <c r="H282" s="3" t="s">
        <v>235</v>
      </c>
      <c r="I282" s="3">
        <v>9</v>
      </c>
      <c r="J282" s="4" t="s">
        <v>103</v>
      </c>
      <c r="K282" s="4"/>
      <c r="M282" s="3"/>
      <c r="N282" s="3"/>
      <c r="O282" s="3"/>
      <c r="P282" s="3"/>
      <c r="Q282" s="3"/>
      <c r="R282" s="3"/>
      <c r="S282" s="3"/>
    </row>
    <row r="283" spans="2:19" x14ac:dyDescent="0.25">
      <c r="B283" s="3" t="s">
        <v>247</v>
      </c>
      <c r="C283" s="3" t="s">
        <v>235</v>
      </c>
      <c r="D283" s="3">
        <v>133.495</v>
      </c>
      <c r="E283" s="3">
        <v>4.5999999999999996</v>
      </c>
      <c r="F283" s="3">
        <v>138.995</v>
      </c>
      <c r="G283" s="3">
        <v>4.5999999999999996</v>
      </c>
      <c r="H283" s="3" t="s">
        <v>235</v>
      </c>
      <c r="I283" s="3">
        <v>9</v>
      </c>
      <c r="J283" s="4" t="s">
        <v>103</v>
      </c>
      <c r="K283" s="4"/>
      <c r="M283" s="3"/>
      <c r="N283" s="3"/>
      <c r="O283" s="3"/>
      <c r="P283" s="3"/>
      <c r="Q283" s="3"/>
      <c r="R283" s="3"/>
      <c r="S283" s="3"/>
    </row>
    <row r="284" spans="2:19" x14ac:dyDescent="0.25">
      <c r="B284" s="3" t="s">
        <v>247</v>
      </c>
      <c r="C284" s="3" t="s">
        <v>235</v>
      </c>
      <c r="D284" s="3">
        <v>138.995</v>
      </c>
      <c r="E284" s="3">
        <v>4.5999999999999996</v>
      </c>
      <c r="F284" s="3">
        <v>138.995</v>
      </c>
      <c r="G284" s="3">
        <v>5</v>
      </c>
      <c r="H284" s="3" t="s">
        <v>235</v>
      </c>
      <c r="I284" s="3">
        <v>9</v>
      </c>
      <c r="J284" s="4" t="s">
        <v>103</v>
      </c>
      <c r="K284" s="4"/>
      <c r="M284" s="3"/>
      <c r="N284" s="3"/>
      <c r="O284" s="3"/>
      <c r="P284" s="3"/>
      <c r="Q284" s="3"/>
      <c r="R284" s="3"/>
      <c r="S284" s="3"/>
    </row>
    <row r="285" spans="2:19" x14ac:dyDescent="0.25">
      <c r="B285" s="3" t="s">
        <v>247</v>
      </c>
      <c r="C285" s="3" t="s">
        <v>235</v>
      </c>
      <c r="D285" s="3">
        <v>138.995</v>
      </c>
      <c r="E285" s="3">
        <v>5</v>
      </c>
      <c r="F285" s="3">
        <v>170</v>
      </c>
      <c r="G285" s="3">
        <v>5</v>
      </c>
      <c r="H285" s="3" t="s">
        <v>235</v>
      </c>
      <c r="I285" s="3">
        <v>9</v>
      </c>
      <c r="J285" s="4" t="s">
        <v>103</v>
      </c>
      <c r="K285" s="4"/>
      <c r="M285" s="3"/>
      <c r="N285" s="3"/>
      <c r="O285" s="3"/>
      <c r="P285" s="3"/>
      <c r="Q285" s="3"/>
      <c r="R285" s="3"/>
      <c r="S285" s="3"/>
    </row>
    <row r="286" spans="2:19" x14ac:dyDescent="0.25">
      <c r="B286" s="3" t="s">
        <v>372</v>
      </c>
      <c r="C286" s="3" t="s">
        <v>235</v>
      </c>
      <c r="D286" s="3">
        <v>131.52799999999999</v>
      </c>
      <c r="E286" s="3">
        <v>-2.9529999999999998</v>
      </c>
      <c r="F286" s="3">
        <v>191.06700000000001</v>
      </c>
      <c r="G286" s="3">
        <v>-5.5519999999999996</v>
      </c>
      <c r="H286" s="3" t="s">
        <v>235</v>
      </c>
      <c r="I286" s="3">
        <v>10</v>
      </c>
      <c r="J286" s="4" t="s">
        <v>103</v>
      </c>
      <c r="K286" s="4"/>
      <c r="M286" s="3"/>
      <c r="N286" s="3"/>
      <c r="O286" s="3"/>
      <c r="P286" s="3"/>
      <c r="Q286" s="3"/>
      <c r="R286" s="3"/>
      <c r="S286" s="3"/>
    </row>
    <row r="287" spans="2:19" x14ac:dyDescent="0.25">
      <c r="B287" s="3" t="s">
        <v>372</v>
      </c>
      <c r="C287" s="3" t="s">
        <v>235</v>
      </c>
      <c r="D287" s="3">
        <v>191.06700000000001</v>
      </c>
      <c r="E287" s="3">
        <v>-5.5519999999999996</v>
      </c>
      <c r="F287" s="3">
        <v>197.84100000000001</v>
      </c>
      <c r="G287" s="3">
        <v>-8.7430000000000003</v>
      </c>
      <c r="H287" s="3" t="s">
        <v>235</v>
      </c>
      <c r="I287" s="3">
        <v>10</v>
      </c>
      <c r="J287" s="4" t="s">
        <v>103</v>
      </c>
      <c r="K287" s="4"/>
      <c r="M287" s="3"/>
      <c r="N287" s="3"/>
      <c r="O287" s="3"/>
      <c r="P287" s="3"/>
      <c r="Q287" s="3"/>
      <c r="R287" s="3"/>
      <c r="S287" s="3"/>
    </row>
    <row r="288" spans="2:19" x14ac:dyDescent="0.25">
      <c r="B288" s="3" t="s">
        <v>372</v>
      </c>
      <c r="C288" s="3" t="s">
        <v>235</v>
      </c>
      <c r="D288" s="3">
        <v>197.84100000000001</v>
      </c>
      <c r="E288" s="3">
        <v>-8.7430000000000003</v>
      </c>
      <c r="F288" s="3">
        <v>211.739</v>
      </c>
      <c r="G288" s="3">
        <v>-13.909000000000001</v>
      </c>
      <c r="H288" s="3" t="s">
        <v>235</v>
      </c>
      <c r="I288" s="3">
        <v>10</v>
      </c>
      <c r="J288" s="4" t="s">
        <v>103</v>
      </c>
      <c r="K288" s="4"/>
      <c r="M288" s="3"/>
      <c r="N288" s="3"/>
      <c r="O288" s="3"/>
      <c r="P288" s="3"/>
      <c r="Q288" s="3"/>
      <c r="R288" s="3"/>
      <c r="S288" s="3"/>
    </row>
    <row r="289" spans="2:19" x14ac:dyDescent="0.25">
      <c r="B289" s="3" t="s">
        <v>372</v>
      </c>
      <c r="C289" s="3" t="s">
        <v>235</v>
      </c>
      <c r="D289" s="3">
        <v>211.739</v>
      </c>
      <c r="E289" s="3">
        <v>-13.909000000000001</v>
      </c>
      <c r="F289" s="3">
        <v>131.52799999999999</v>
      </c>
      <c r="G289" s="3">
        <v>-13.909000000000001</v>
      </c>
      <c r="H289" s="3" t="s">
        <v>235</v>
      </c>
      <c r="I289" s="3">
        <v>10</v>
      </c>
      <c r="J289" s="4" t="s">
        <v>103</v>
      </c>
      <c r="K289" s="4"/>
      <c r="M289" s="3"/>
      <c r="N289" s="3"/>
      <c r="O289" s="3"/>
      <c r="P289" s="3"/>
      <c r="Q289" s="3"/>
      <c r="R289" s="3"/>
      <c r="S289" s="3"/>
    </row>
    <row r="290" spans="2:19" x14ac:dyDescent="0.25">
      <c r="B290" s="3" t="s">
        <v>372</v>
      </c>
      <c r="C290" s="3" t="s">
        <v>235</v>
      </c>
      <c r="D290" s="3">
        <v>131.52799999999999</v>
      </c>
      <c r="E290" s="3">
        <v>-13.909000000000001</v>
      </c>
      <c r="F290" s="3">
        <v>131.52799999999999</v>
      </c>
      <c r="G290" s="3">
        <v>-2.9529999999999998</v>
      </c>
      <c r="H290" s="3" t="s">
        <v>235</v>
      </c>
      <c r="I290" s="3">
        <v>10</v>
      </c>
      <c r="J290" s="4" t="s">
        <v>103</v>
      </c>
      <c r="K290" s="4"/>
      <c r="M290" s="3"/>
      <c r="N290" s="3"/>
      <c r="O290" s="3"/>
      <c r="P290" s="3"/>
      <c r="Q290" s="3"/>
      <c r="R290" s="3"/>
      <c r="S290" s="3"/>
    </row>
    <row r="291" spans="2:19" x14ac:dyDescent="0.25">
      <c r="B291" s="3" t="s">
        <v>248</v>
      </c>
      <c r="C291" s="3" t="s">
        <v>249</v>
      </c>
      <c r="D291" s="3">
        <v>103.995</v>
      </c>
      <c r="E291" s="3">
        <v>12.1</v>
      </c>
      <c r="F291" s="3">
        <v>77.679000000000002</v>
      </c>
      <c r="G291" s="3">
        <v>12.1</v>
      </c>
      <c r="H291" s="3" t="s">
        <v>249</v>
      </c>
      <c r="I291" s="3">
        <v>1</v>
      </c>
      <c r="J291" s="4" t="s">
        <v>103</v>
      </c>
      <c r="K291" s="4"/>
      <c r="M291" s="3"/>
      <c r="N291" s="3"/>
      <c r="O291" s="3"/>
      <c r="P291" s="3"/>
      <c r="Q291" s="3"/>
      <c r="R291" s="3"/>
      <c r="S291" s="3"/>
    </row>
    <row r="292" spans="2:19" x14ac:dyDescent="0.25">
      <c r="B292" s="3" t="s">
        <v>248</v>
      </c>
      <c r="C292" s="3" t="s">
        <v>249</v>
      </c>
      <c r="D292" s="3">
        <v>77.679000000000002</v>
      </c>
      <c r="E292" s="3">
        <v>12.1</v>
      </c>
      <c r="F292" s="3">
        <v>77.679000000000002</v>
      </c>
      <c r="G292" s="3">
        <v>8.9</v>
      </c>
      <c r="H292" s="3" t="s">
        <v>249</v>
      </c>
      <c r="I292" s="3">
        <v>1</v>
      </c>
      <c r="J292" s="4" t="s">
        <v>103</v>
      </c>
      <c r="K292" s="4"/>
      <c r="M292" s="3"/>
      <c r="N292" s="3"/>
      <c r="O292" s="3"/>
      <c r="P292" s="3"/>
      <c r="Q292" s="3"/>
      <c r="R292" s="3"/>
      <c r="S292" s="3"/>
    </row>
    <row r="293" spans="2:19" x14ac:dyDescent="0.25">
      <c r="B293" s="3" t="s">
        <v>248</v>
      </c>
      <c r="C293" s="3" t="s">
        <v>249</v>
      </c>
      <c r="D293" s="3">
        <v>77.679000000000002</v>
      </c>
      <c r="E293" s="3">
        <v>8.9</v>
      </c>
      <c r="F293" s="3">
        <v>103.995</v>
      </c>
      <c r="G293" s="3">
        <v>8.9</v>
      </c>
      <c r="H293" s="3" t="s">
        <v>249</v>
      </c>
      <c r="I293" s="3">
        <v>1</v>
      </c>
      <c r="J293" s="4" t="s">
        <v>103</v>
      </c>
      <c r="K293" s="4"/>
      <c r="M293" s="3"/>
      <c r="N293" s="3"/>
      <c r="O293" s="3"/>
      <c r="P293" s="3"/>
      <c r="Q293" s="3"/>
      <c r="R293" s="3"/>
      <c r="S293" s="3"/>
    </row>
    <row r="294" spans="2:19" x14ac:dyDescent="0.25">
      <c r="B294" s="3" t="s">
        <v>248</v>
      </c>
      <c r="C294" s="3" t="s">
        <v>249</v>
      </c>
      <c r="D294" s="3">
        <v>103.995</v>
      </c>
      <c r="E294" s="3">
        <v>8.9</v>
      </c>
      <c r="F294" s="3">
        <v>103.995</v>
      </c>
      <c r="G294" s="3">
        <v>12.1</v>
      </c>
      <c r="H294" s="3" t="s">
        <v>249</v>
      </c>
      <c r="I294" s="3">
        <v>1</v>
      </c>
      <c r="J294" s="4" t="s">
        <v>103</v>
      </c>
      <c r="K294" s="4"/>
      <c r="M294" s="3"/>
      <c r="N294" s="3"/>
      <c r="O294" s="3"/>
      <c r="P294" s="3"/>
      <c r="Q294" s="3"/>
      <c r="R294" s="3"/>
      <c r="S294" s="3"/>
    </row>
    <row r="295" spans="2:19" x14ac:dyDescent="0.25">
      <c r="B295" s="3" t="s">
        <v>250</v>
      </c>
      <c r="C295" s="3" t="s">
        <v>249</v>
      </c>
      <c r="D295" s="3">
        <v>75.179000000000002</v>
      </c>
      <c r="E295" s="3">
        <v>12.1</v>
      </c>
      <c r="F295" s="3">
        <v>0</v>
      </c>
      <c r="G295" s="3">
        <v>12.1</v>
      </c>
      <c r="H295" s="3" t="s">
        <v>249</v>
      </c>
      <c r="I295" s="3">
        <v>2</v>
      </c>
      <c r="J295" s="4" t="s">
        <v>103</v>
      </c>
      <c r="K295" s="4"/>
      <c r="M295" s="3"/>
      <c r="N295" s="3"/>
      <c r="O295" s="3"/>
      <c r="P295" s="3"/>
      <c r="Q295" s="3"/>
      <c r="R295" s="3"/>
      <c r="S295" s="3"/>
    </row>
    <row r="296" spans="2:19" x14ac:dyDescent="0.25">
      <c r="B296" s="3" t="s">
        <v>250</v>
      </c>
      <c r="C296" s="3" t="s">
        <v>249</v>
      </c>
      <c r="D296" s="3">
        <v>0</v>
      </c>
      <c r="E296" s="3">
        <v>12.1</v>
      </c>
      <c r="F296" s="3">
        <v>0</v>
      </c>
      <c r="G296" s="3">
        <v>8.9</v>
      </c>
      <c r="H296" s="3" t="s">
        <v>249</v>
      </c>
      <c r="I296" s="3">
        <v>2</v>
      </c>
      <c r="J296" s="4" t="s">
        <v>103</v>
      </c>
      <c r="K296" s="4"/>
      <c r="M296" s="3"/>
      <c r="N296" s="3"/>
      <c r="O296" s="3"/>
      <c r="P296" s="3"/>
      <c r="Q296" s="3"/>
      <c r="R296" s="3"/>
      <c r="S296" s="3"/>
    </row>
    <row r="297" spans="2:19" x14ac:dyDescent="0.25">
      <c r="B297" s="3" t="s">
        <v>250</v>
      </c>
      <c r="C297" s="3" t="s">
        <v>249</v>
      </c>
      <c r="D297" s="3">
        <v>0</v>
      </c>
      <c r="E297" s="3">
        <v>8.9</v>
      </c>
      <c r="F297" s="3">
        <v>75.179000000000002</v>
      </c>
      <c r="G297" s="3">
        <v>8.9</v>
      </c>
      <c r="H297" s="3" t="s">
        <v>249</v>
      </c>
      <c r="I297" s="3">
        <v>2</v>
      </c>
      <c r="J297" s="4" t="s">
        <v>103</v>
      </c>
      <c r="K297" s="4"/>
      <c r="M297" s="3"/>
      <c r="N297" s="3"/>
      <c r="O297" s="3"/>
      <c r="P297" s="3"/>
      <c r="Q297" s="3"/>
      <c r="R297" s="3"/>
      <c r="S297" s="3"/>
    </row>
    <row r="298" spans="2:19" x14ac:dyDescent="0.25">
      <c r="B298" s="41" t="s">
        <v>250</v>
      </c>
      <c r="C298" s="41" t="s">
        <v>249</v>
      </c>
      <c r="D298" s="41">
        <v>75.179000000000002</v>
      </c>
      <c r="E298" s="41">
        <v>8.9</v>
      </c>
      <c r="F298" s="41">
        <v>75.179000000000002</v>
      </c>
      <c r="G298" s="41">
        <v>12.1</v>
      </c>
      <c r="H298" s="41" t="s">
        <v>249</v>
      </c>
      <c r="I298" s="41">
        <v>2</v>
      </c>
      <c r="J298" s="4" t="s">
        <v>103</v>
      </c>
      <c r="K298" s="4"/>
      <c r="M298" s="3"/>
      <c r="N298" s="3"/>
      <c r="O298" s="3"/>
      <c r="P298" s="3"/>
      <c r="Q298" s="3"/>
      <c r="R298" s="3"/>
      <c r="S298" s="3"/>
    </row>
    <row r="299" spans="2:19" x14ac:dyDescent="0.25">
      <c r="B299" s="3" t="s">
        <v>251</v>
      </c>
      <c r="C299" s="3" t="s">
        <v>249</v>
      </c>
      <c r="D299" s="3">
        <v>132.495</v>
      </c>
      <c r="E299" s="3">
        <v>12.1</v>
      </c>
      <c r="F299" s="3">
        <v>105.495</v>
      </c>
      <c r="G299" s="3">
        <v>12.1</v>
      </c>
      <c r="H299" s="3" t="s">
        <v>249</v>
      </c>
      <c r="I299" s="3">
        <v>3</v>
      </c>
      <c r="J299" s="4" t="s">
        <v>103</v>
      </c>
      <c r="K299" s="4"/>
      <c r="M299" s="3"/>
      <c r="N299" s="3"/>
      <c r="O299" s="3"/>
      <c r="P299" s="3"/>
      <c r="Q299" s="3"/>
      <c r="R299" s="3"/>
      <c r="S299" s="3"/>
    </row>
    <row r="300" spans="2:19" x14ac:dyDescent="0.25">
      <c r="B300" s="3" t="s">
        <v>251</v>
      </c>
      <c r="C300" s="3" t="s">
        <v>249</v>
      </c>
      <c r="D300" s="3">
        <v>105.495</v>
      </c>
      <c r="E300" s="3">
        <v>12.1</v>
      </c>
      <c r="F300" s="3">
        <v>105.495</v>
      </c>
      <c r="G300" s="3">
        <v>6.1150000000000002</v>
      </c>
      <c r="H300" s="3" t="s">
        <v>249</v>
      </c>
      <c r="I300" s="3">
        <v>3</v>
      </c>
      <c r="J300" s="4" t="s">
        <v>103</v>
      </c>
      <c r="K300" s="4"/>
    </row>
    <row r="301" spans="2:19" x14ac:dyDescent="0.25">
      <c r="B301" s="3" t="s">
        <v>251</v>
      </c>
      <c r="C301" s="3" t="s">
        <v>249</v>
      </c>
      <c r="D301" s="3">
        <v>105.495</v>
      </c>
      <c r="E301" s="3">
        <v>6.1150000000000002</v>
      </c>
      <c r="F301" s="3">
        <v>132.495</v>
      </c>
      <c r="G301" s="3">
        <v>6.1150000000000002</v>
      </c>
      <c r="H301" s="3" t="s">
        <v>249</v>
      </c>
      <c r="I301" s="3">
        <v>3</v>
      </c>
      <c r="J301" s="4" t="s">
        <v>103</v>
      </c>
      <c r="K301" s="4"/>
    </row>
    <row r="302" spans="2:19" x14ac:dyDescent="0.25">
      <c r="B302" s="3" t="s">
        <v>251</v>
      </c>
      <c r="C302" s="3" t="s">
        <v>249</v>
      </c>
      <c r="D302" s="3">
        <v>132.495</v>
      </c>
      <c r="E302" s="3">
        <v>6.1150000000000002</v>
      </c>
      <c r="F302" s="3">
        <v>132.495</v>
      </c>
      <c r="G302" s="3">
        <v>12.1</v>
      </c>
      <c r="H302" s="3" t="s">
        <v>249</v>
      </c>
      <c r="I302" s="3">
        <v>3</v>
      </c>
      <c r="J302" s="4" t="s">
        <v>103</v>
      </c>
      <c r="K302" s="4"/>
    </row>
    <row r="303" spans="2:19" x14ac:dyDescent="0.25">
      <c r="B303" s="3" t="s">
        <v>364</v>
      </c>
      <c r="C303" s="3" t="s">
        <v>249</v>
      </c>
      <c r="D303" s="3">
        <v>156.43299999999999</v>
      </c>
      <c r="E303" s="3">
        <v>8.9</v>
      </c>
      <c r="F303" s="3">
        <v>0</v>
      </c>
      <c r="G303" s="3">
        <v>8.9</v>
      </c>
      <c r="H303" s="3" t="s">
        <v>249</v>
      </c>
      <c r="I303" s="3">
        <v>4</v>
      </c>
      <c r="J303" s="4" t="s">
        <v>103</v>
      </c>
      <c r="K303" s="4"/>
    </row>
    <row r="304" spans="2:19" x14ac:dyDescent="0.25">
      <c r="B304" s="3" t="s">
        <v>364</v>
      </c>
      <c r="C304" s="3" t="s">
        <v>249</v>
      </c>
      <c r="D304" s="3">
        <v>0</v>
      </c>
      <c r="E304" s="3">
        <v>8.9</v>
      </c>
      <c r="F304" s="3">
        <v>0</v>
      </c>
      <c r="G304" s="3">
        <v>5</v>
      </c>
      <c r="H304" s="3" t="s">
        <v>249</v>
      </c>
      <c r="I304" s="3">
        <v>4</v>
      </c>
      <c r="J304" s="4" t="s">
        <v>103</v>
      </c>
      <c r="K304" s="4"/>
    </row>
    <row r="305" spans="2:11" x14ac:dyDescent="0.25">
      <c r="B305" s="3" t="s">
        <v>364</v>
      </c>
      <c r="C305" s="3" t="s">
        <v>249</v>
      </c>
      <c r="D305" s="3">
        <v>0</v>
      </c>
      <c r="E305" s="3">
        <v>5</v>
      </c>
      <c r="F305" s="3">
        <v>170</v>
      </c>
      <c r="G305" s="3">
        <v>5</v>
      </c>
      <c r="H305" s="3" t="s">
        <v>249</v>
      </c>
      <c r="I305" s="3">
        <v>4</v>
      </c>
      <c r="J305" s="4" t="s">
        <v>103</v>
      </c>
      <c r="K305" s="4"/>
    </row>
    <row r="306" spans="2:11" x14ac:dyDescent="0.25">
      <c r="B306" s="3" t="s">
        <v>364</v>
      </c>
      <c r="C306" s="3" t="s">
        <v>249</v>
      </c>
      <c r="D306" s="3">
        <v>170</v>
      </c>
      <c r="E306" s="3">
        <v>5</v>
      </c>
      <c r="F306" s="3">
        <v>156.43299999999999</v>
      </c>
      <c r="G306" s="3">
        <v>8.9</v>
      </c>
      <c r="H306" s="3" t="s">
        <v>249</v>
      </c>
      <c r="I306" s="3">
        <v>4</v>
      </c>
      <c r="J306" s="4" t="s">
        <v>103</v>
      </c>
      <c r="K306" s="4"/>
    </row>
    <row r="307" spans="2:11" x14ac:dyDescent="0.25">
      <c r="B307" s="3" t="s">
        <v>252</v>
      </c>
      <c r="C307" s="3" t="s">
        <v>253</v>
      </c>
      <c r="D307" s="3">
        <v>77.679000000000002</v>
      </c>
      <c r="E307" s="3">
        <v>12.1</v>
      </c>
      <c r="F307" s="3">
        <v>75.179000000000002</v>
      </c>
      <c r="G307" s="3">
        <v>12.1</v>
      </c>
      <c r="H307" s="3" t="s">
        <v>170</v>
      </c>
      <c r="I307" s="3">
        <v>11</v>
      </c>
      <c r="J307" s="4" t="s">
        <v>103</v>
      </c>
      <c r="K307" s="4" t="s">
        <v>111</v>
      </c>
    </row>
    <row r="308" spans="2:11" x14ac:dyDescent="0.25">
      <c r="B308" s="3" t="s">
        <v>252</v>
      </c>
      <c r="C308" s="3" t="s">
        <v>253</v>
      </c>
      <c r="D308" s="3">
        <v>75.179000000000002</v>
      </c>
      <c r="E308" s="3">
        <v>12.1</v>
      </c>
      <c r="F308" s="3">
        <v>75.179000000000002</v>
      </c>
      <c r="G308" s="3">
        <v>8.9</v>
      </c>
      <c r="H308" s="3" t="s">
        <v>254</v>
      </c>
      <c r="I308" s="3">
        <v>11</v>
      </c>
      <c r="J308" s="4" t="s">
        <v>103</v>
      </c>
      <c r="K308" s="4" t="s">
        <v>111</v>
      </c>
    </row>
    <row r="309" spans="2:11" x14ac:dyDescent="0.25">
      <c r="B309" s="3" t="s">
        <v>252</v>
      </c>
      <c r="C309" s="3" t="s">
        <v>253</v>
      </c>
      <c r="D309" s="3">
        <v>75.179000000000002</v>
      </c>
      <c r="E309" s="3">
        <v>8.9</v>
      </c>
      <c r="F309" s="3">
        <v>77.679000000000002</v>
      </c>
      <c r="G309" s="3">
        <v>8.9</v>
      </c>
      <c r="H309" s="3" t="s">
        <v>255</v>
      </c>
      <c r="I309" s="3">
        <v>11</v>
      </c>
      <c r="J309" s="4" t="s">
        <v>103</v>
      </c>
      <c r="K309" s="4" t="s">
        <v>111</v>
      </c>
    </row>
    <row r="310" spans="2:11" x14ac:dyDescent="0.25">
      <c r="B310" s="3" t="s">
        <v>252</v>
      </c>
      <c r="C310" s="3" t="s">
        <v>253</v>
      </c>
      <c r="D310" s="3">
        <v>77.679000000000002</v>
      </c>
      <c r="E310" s="3">
        <v>8.9</v>
      </c>
      <c r="F310" s="3">
        <v>77.679000000000002</v>
      </c>
      <c r="G310" s="3">
        <v>12.1</v>
      </c>
      <c r="H310" s="3" t="s">
        <v>254</v>
      </c>
      <c r="I310" s="3">
        <v>11</v>
      </c>
      <c r="J310" s="4" t="s">
        <v>103</v>
      </c>
      <c r="K310" s="4" t="s">
        <v>111</v>
      </c>
    </row>
    <row r="311" spans="2:11" x14ac:dyDescent="0.25">
      <c r="B311" s="3" t="s">
        <v>256</v>
      </c>
      <c r="C311" s="3" t="s">
        <v>253</v>
      </c>
      <c r="D311" s="3">
        <v>137.495</v>
      </c>
      <c r="E311" s="3">
        <v>11.1</v>
      </c>
      <c r="F311" s="3">
        <v>133.495</v>
      </c>
      <c r="G311" s="3">
        <v>11.1</v>
      </c>
      <c r="H311" s="3" t="s">
        <v>170</v>
      </c>
      <c r="I311" s="3">
        <v>12</v>
      </c>
      <c r="J311" s="4" t="s">
        <v>103</v>
      </c>
      <c r="K311" s="4"/>
    </row>
    <row r="312" spans="2:11" x14ac:dyDescent="0.25">
      <c r="B312" s="71" t="s">
        <v>256</v>
      </c>
      <c r="C312" s="71" t="s">
        <v>253</v>
      </c>
      <c r="D312" s="71">
        <v>133.495</v>
      </c>
      <c r="E312" s="71">
        <v>11.1</v>
      </c>
      <c r="F312" s="71">
        <v>133.495</v>
      </c>
      <c r="G312" s="71">
        <v>6.1</v>
      </c>
      <c r="H312" s="71" t="s">
        <v>170</v>
      </c>
      <c r="I312" s="71">
        <v>12</v>
      </c>
      <c r="J312" s="4" t="s">
        <v>103</v>
      </c>
      <c r="K312" s="4"/>
    </row>
    <row r="313" spans="2:11" x14ac:dyDescent="0.25">
      <c r="B313" s="71" t="s">
        <v>256</v>
      </c>
      <c r="C313" s="71" t="s">
        <v>253</v>
      </c>
      <c r="D313" s="71">
        <v>133.495</v>
      </c>
      <c r="E313" s="71">
        <v>6.1</v>
      </c>
      <c r="F313" s="71">
        <v>137.495</v>
      </c>
      <c r="G313" s="71">
        <v>6.1</v>
      </c>
      <c r="H313" s="71" t="s">
        <v>170</v>
      </c>
      <c r="I313" s="71">
        <v>12</v>
      </c>
      <c r="J313" s="4" t="s">
        <v>103</v>
      </c>
      <c r="K313" s="4"/>
    </row>
    <row r="314" spans="2:11" x14ac:dyDescent="0.25">
      <c r="B314" s="72" t="s">
        <v>256</v>
      </c>
      <c r="C314" s="72" t="s">
        <v>253</v>
      </c>
      <c r="D314" s="72">
        <v>137.495</v>
      </c>
      <c r="E314" s="72">
        <v>6.1</v>
      </c>
      <c r="F314" s="72">
        <v>137.495</v>
      </c>
      <c r="G314" s="72">
        <v>11.1</v>
      </c>
      <c r="H314" s="71" t="s">
        <v>170</v>
      </c>
      <c r="I314" s="72">
        <v>12</v>
      </c>
      <c r="J314" s="4" t="s">
        <v>103</v>
      </c>
      <c r="K314" s="4"/>
    </row>
    <row r="315" spans="2:11" x14ac:dyDescent="0.25">
      <c r="B315" s="71" t="s">
        <v>257</v>
      </c>
      <c r="C315" s="71" t="s">
        <v>253</v>
      </c>
      <c r="D315" s="71">
        <v>138.995</v>
      </c>
      <c r="E315" s="71">
        <v>4.5999999999999996</v>
      </c>
      <c r="F315" s="71">
        <v>138.995</v>
      </c>
      <c r="G315" s="71">
        <v>12.1</v>
      </c>
      <c r="H315" s="71" t="s">
        <v>170</v>
      </c>
      <c r="I315" s="71">
        <v>13</v>
      </c>
      <c r="J315" s="4" t="s">
        <v>103</v>
      </c>
      <c r="K315" s="4" t="s">
        <v>111</v>
      </c>
    </row>
    <row r="316" spans="2:11" x14ac:dyDescent="0.25">
      <c r="B316" s="71" t="s">
        <v>257</v>
      </c>
      <c r="C316" s="71" t="s">
        <v>253</v>
      </c>
      <c r="D316" s="71">
        <v>138.995</v>
      </c>
      <c r="E316" s="71">
        <v>12.1</v>
      </c>
      <c r="F316" s="71">
        <v>132.495</v>
      </c>
      <c r="G316" s="71">
        <v>12.1</v>
      </c>
      <c r="H316" s="71" t="s">
        <v>170</v>
      </c>
      <c r="I316" s="71">
        <v>13</v>
      </c>
      <c r="J316" s="4" t="s">
        <v>103</v>
      </c>
      <c r="K316" s="4" t="s">
        <v>111</v>
      </c>
    </row>
    <row r="317" spans="2:11" x14ac:dyDescent="0.25">
      <c r="B317" s="71" t="s">
        <v>257</v>
      </c>
      <c r="C317" s="71" t="s">
        <v>253</v>
      </c>
      <c r="D317" s="71">
        <v>132.495</v>
      </c>
      <c r="E317" s="71">
        <v>12.1</v>
      </c>
      <c r="F317" s="71">
        <v>132.495</v>
      </c>
      <c r="G317" s="71">
        <v>6.1</v>
      </c>
      <c r="H317" s="71" t="s">
        <v>170</v>
      </c>
      <c r="I317" s="71">
        <v>13</v>
      </c>
      <c r="J317" s="4" t="s">
        <v>103</v>
      </c>
      <c r="K317" s="4" t="s">
        <v>111</v>
      </c>
    </row>
    <row r="318" spans="2:11" x14ac:dyDescent="0.25">
      <c r="B318" s="71" t="s">
        <v>257</v>
      </c>
      <c r="C318" s="71" t="s">
        <v>253</v>
      </c>
      <c r="D318" s="71">
        <v>132.495</v>
      </c>
      <c r="E318" s="71">
        <v>6.1</v>
      </c>
      <c r="F318" s="71">
        <v>105.495</v>
      </c>
      <c r="G318" s="71">
        <v>6.1150000000000002</v>
      </c>
      <c r="H318" s="71" t="s">
        <v>170</v>
      </c>
      <c r="I318" s="71">
        <v>13</v>
      </c>
      <c r="J318" s="4" t="s">
        <v>103</v>
      </c>
      <c r="K318" s="4" t="s">
        <v>111</v>
      </c>
    </row>
    <row r="319" spans="2:11" x14ac:dyDescent="0.25">
      <c r="B319" s="71" t="s">
        <v>257</v>
      </c>
      <c r="C319" s="71" t="s">
        <v>253</v>
      </c>
      <c r="D319" s="71">
        <v>105.495</v>
      </c>
      <c r="E319" s="71">
        <v>6.1150000000000002</v>
      </c>
      <c r="F319" s="71">
        <v>105.495</v>
      </c>
      <c r="G319" s="71">
        <v>12.115</v>
      </c>
      <c r="H319" s="71" t="s">
        <v>170</v>
      </c>
      <c r="I319" s="71">
        <v>13</v>
      </c>
      <c r="J319" s="4" t="s">
        <v>103</v>
      </c>
      <c r="K319" s="4" t="s">
        <v>111</v>
      </c>
    </row>
    <row r="320" spans="2:11" x14ac:dyDescent="0.25">
      <c r="B320" s="71" t="s">
        <v>257</v>
      </c>
      <c r="C320" s="71" t="s">
        <v>253</v>
      </c>
      <c r="D320" s="71">
        <v>105.495</v>
      </c>
      <c r="E320" s="71">
        <v>12.115</v>
      </c>
      <c r="F320" s="71">
        <v>103.995</v>
      </c>
      <c r="G320" s="71">
        <v>12.1</v>
      </c>
      <c r="H320" s="71" t="s">
        <v>170</v>
      </c>
      <c r="I320" s="71">
        <v>13</v>
      </c>
      <c r="J320" s="4" t="s">
        <v>103</v>
      </c>
      <c r="K320" s="4" t="s">
        <v>111</v>
      </c>
    </row>
    <row r="321" spans="2:11" x14ac:dyDescent="0.25">
      <c r="B321" s="3" t="s">
        <v>257</v>
      </c>
      <c r="C321" s="3" t="s">
        <v>253</v>
      </c>
      <c r="D321" s="3">
        <v>103.995</v>
      </c>
      <c r="E321" s="3">
        <v>12.1</v>
      </c>
      <c r="F321" s="3">
        <v>103.995</v>
      </c>
      <c r="G321" s="3">
        <v>6.1150000000000002</v>
      </c>
      <c r="H321" s="71" t="s">
        <v>258</v>
      </c>
      <c r="I321" s="3">
        <v>13</v>
      </c>
      <c r="J321" s="4" t="s">
        <v>103</v>
      </c>
      <c r="K321" s="4" t="s">
        <v>111</v>
      </c>
    </row>
    <row r="322" spans="2:11" x14ac:dyDescent="0.25">
      <c r="B322" s="3" t="s">
        <v>257</v>
      </c>
      <c r="C322" s="3" t="s">
        <v>253</v>
      </c>
      <c r="D322" s="3">
        <v>103.995</v>
      </c>
      <c r="E322" s="3">
        <v>6.1150000000000002</v>
      </c>
      <c r="F322" s="3">
        <v>102.995</v>
      </c>
      <c r="G322" s="3">
        <v>6.1150000000000002</v>
      </c>
      <c r="H322" s="71" t="s">
        <v>259</v>
      </c>
      <c r="I322" s="3">
        <v>13</v>
      </c>
      <c r="J322" s="4" t="s">
        <v>103</v>
      </c>
      <c r="K322" s="4" t="s">
        <v>111</v>
      </c>
    </row>
    <row r="323" spans="2:11" x14ac:dyDescent="0.25">
      <c r="B323" s="3" t="s">
        <v>257</v>
      </c>
      <c r="C323" s="3" t="s">
        <v>253</v>
      </c>
      <c r="D323" s="3">
        <v>102.995</v>
      </c>
      <c r="E323" s="3">
        <v>6.1150000000000002</v>
      </c>
      <c r="F323" s="3">
        <v>102.995</v>
      </c>
      <c r="G323" s="3">
        <v>5.4</v>
      </c>
      <c r="H323" s="71" t="s">
        <v>255</v>
      </c>
      <c r="I323" s="3">
        <v>13</v>
      </c>
      <c r="J323" s="4" t="s">
        <v>103</v>
      </c>
      <c r="K323" s="4" t="s">
        <v>111</v>
      </c>
    </row>
    <row r="324" spans="2:11" x14ac:dyDescent="0.25">
      <c r="B324" s="3" t="s">
        <v>257</v>
      </c>
      <c r="C324" s="3" t="s">
        <v>253</v>
      </c>
      <c r="D324" s="3">
        <v>102.995</v>
      </c>
      <c r="E324" s="3">
        <v>5.4</v>
      </c>
      <c r="F324" s="3">
        <v>128.495</v>
      </c>
      <c r="G324" s="3">
        <v>5.4</v>
      </c>
      <c r="H324" s="71" t="s">
        <v>259</v>
      </c>
      <c r="I324" s="3">
        <v>13</v>
      </c>
      <c r="J324" s="4" t="s">
        <v>103</v>
      </c>
      <c r="K324" s="4" t="s">
        <v>111</v>
      </c>
    </row>
    <row r="325" spans="2:11" x14ac:dyDescent="0.25">
      <c r="B325" s="3" t="s">
        <v>257</v>
      </c>
      <c r="C325" s="3" t="s">
        <v>253</v>
      </c>
      <c r="D325" s="3">
        <v>128.495</v>
      </c>
      <c r="E325" s="3">
        <v>5.4</v>
      </c>
      <c r="F325" s="3">
        <v>130.27799999999999</v>
      </c>
      <c r="G325" s="3">
        <v>3.9940000000000002</v>
      </c>
      <c r="H325" s="71" t="s">
        <v>258</v>
      </c>
      <c r="I325" s="3">
        <v>13</v>
      </c>
      <c r="J325" s="4" t="s">
        <v>103</v>
      </c>
      <c r="K325" s="4" t="s">
        <v>111</v>
      </c>
    </row>
    <row r="326" spans="2:11" x14ac:dyDescent="0.25">
      <c r="B326" s="3" t="s">
        <v>257</v>
      </c>
      <c r="C326" s="3" t="s">
        <v>253</v>
      </c>
      <c r="D326" s="3">
        <v>130.27799999999999</v>
      </c>
      <c r="E326" s="3">
        <v>3.9940000000000002</v>
      </c>
      <c r="F326" s="3">
        <v>132.77799999999999</v>
      </c>
      <c r="G326" s="3">
        <v>3.9940000000000002</v>
      </c>
      <c r="H326" s="71" t="s">
        <v>258</v>
      </c>
      <c r="I326" s="3">
        <v>13</v>
      </c>
      <c r="J326" s="4" t="s">
        <v>103</v>
      </c>
      <c r="K326" s="4" t="s">
        <v>111</v>
      </c>
    </row>
    <row r="327" spans="2:11" x14ac:dyDescent="0.25">
      <c r="B327" s="3" t="s">
        <v>257</v>
      </c>
      <c r="C327" s="3" t="s">
        <v>253</v>
      </c>
      <c r="D327" s="3">
        <v>132.77799999999999</v>
      </c>
      <c r="E327" s="3">
        <v>3.9940000000000002</v>
      </c>
      <c r="F327" s="3">
        <v>133.495</v>
      </c>
      <c r="G327" s="3">
        <v>4.5999999999999996</v>
      </c>
      <c r="H327" s="71" t="s">
        <v>258</v>
      </c>
      <c r="I327" s="3">
        <v>13</v>
      </c>
      <c r="J327" s="4" t="s">
        <v>103</v>
      </c>
      <c r="K327" s="4" t="s">
        <v>111</v>
      </c>
    </row>
    <row r="328" spans="2:11" x14ac:dyDescent="0.25">
      <c r="B328" s="3" t="s">
        <v>257</v>
      </c>
      <c r="C328" s="3" t="s">
        <v>253</v>
      </c>
      <c r="D328" s="3">
        <v>133.495</v>
      </c>
      <c r="E328" s="3">
        <v>4.5999999999999996</v>
      </c>
      <c r="F328" s="3">
        <v>138.995</v>
      </c>
      <c r="G328" s="3">
        <v>4.5999999999999996</v>
      </c>
      <c r="H328" s="71" t="s">
        <v>258</v>
      </c>
      <c r="I328" s="3">
        <v>13</v>
      </c>
      <c r="J328" s="4" t="s">
        <v>103</v>
      </c>
      <c r="K328" s="4" t="s">
        <v>111</v>
      </c>
    </row>
    <row r="329" spans="2:11" x14ac:dyDescent="0.25">
      <c r="B329" s="3"/>
      <c r="C329" s="3"/>
      <c r="D329" s="3"/>
      <c r="E329" s="3"/>
      <c r="F329" s="3"/>
      <c r="G329" s="3"/>
      <c r="H329" s="3"/>
      <c r="I329" s="3"/>
      <c r="J329" s="4"/>
      <c r="K329" s="4"/>
    </row>
    <row r="330" spans="2:11" x14ac:dyDescent="0.25">
      <c r="B330" s="3"/>
      <c r="C330" s="3"/>
      <c r="D330" s="3"/>
      <c r="E330" s="3"/>
      <c r="F330" s="3"/>
      <c r="G330" s="3"/>
      <c r="H330" s="3"/>
      <c r="I330" s="3"/>
      <c r="J330" s="4"/>
      <c r="K330" s="4"/>
    </row>
    <row r="331" spans="2:11" x14ac:dyDescent="0.25">
      <c r="B331" s="3"/>
      <c r="C331" s="3"/>
      <c r="D331" s="3"/>
      <c r="E331" s="3"/>
      <c r="F331" s="3"/>
      <c r="G331" s="3"/>
      <c r="H331" s="3"/>
      <c r="I331" s="3"/>
      <c r="J331" s="4"/>
      <c r="K331" s="4"/>
    </row>
    <row r="332" spans="2:11" x14ac:dyDescent="0.25">
      <c r="B332" s="3"/>
      <c r="C332" s="3"/>
      <c r="D332" s="3"/>
      <c r="E332" s="3"/>
      <c r="F332" s="3"/>
      <c r="G332" s="3"/>
      <c r="H332" s="3"/>
      <c r="I332" s="3"/>
      <c r="J332" s="4"/>
      <c r="K332" s="4"/>
    </row>
    <row r="333" spans="2:11" x14ac:dyDescent="0.25">
      <c r="B333" s="3"/>
      <c r="C333" s="3"/>
      <c r="D333" s="3"/>
      <c r="E333" s="3"/>
      <c r="F333" s="3"/>
      <c r="G333" s="3"/>
      <c r="H333" s="3"/>
      <c r="I333" s="3"/>
      <c r="J333" s="4"/>
      <c r="K333" s="4"/>
    </row>
    <row r="334" spans="2:11" x14ac:dyDescent="0.25">
      <c r="B334" s="3"/>
      <c r="C334" s="3"/>
      <c r="D334" s="3"/>
      <c r="E334" s="3"/>
      <c r="F334" s="3"/>
      <c r="G334" s="3"/>
      <c r="H334" s="3"/>
      <c r="I334" s="3"/>
      <c r="J334" s="4"/>
      <c r="K334" s="4"/>
    </row>
    <row r="335" spans="2:11" x14ac:dyDescent="0.25">
      <c r="B335" s="3"/>
      <c r="C335" s="3"/>
      <c r="D335" s="3"/>
      <c r="E335" s="3"/>
      <c r="F335" s="3"/>
      <c r="G335" s="3"/>
      <c r="H335" s="3"/>
      <c r="I335" s="3"/>
      <c r="J335" s="3"/>
      <c r="K335" s="3"/>
    </row>
    <row r="336" spans="2:11" x14ac:dyDescent="0.25">
      <c r="B336" s="3"/>
      <c r="C336" s="3"/>
      <c r="D336" s="3"/>
      <c r="E336" s="3"/>
      <c r="F336" s="3"/>
      <c r="G336" s="3"/>
      <c r="H336" s="3"/>
      <c r="I336" s="3"/>
      <c r="J336" s="3"/>
      <c r="K336" s="3"/>
    </row>
    <row r="337" spans="2:11" x14ac:dyDescent="0.25">
      <c r="B337" s="3"/>
      <c r="C337" s="3"/>
      <c r="D337" s="3"/>
      <c r="E337" s="3"/>
      <c r="F337" s="3"/>
      <c r="G337" s="3"/>
      <c r="H337" s="3"/>
      <c r="I337" s="3"/>
      <c r="J337" s="3"/>
      <c r="K337" s="3"/>
    </row>
    <row r="338" spans="2:11" x14ac:dyDescent="0.25">
      <c r="B338" s="3"/>
      <c r="C338" s="3"/>
      <c r="D338" s="3"/>
      <c r="E338" s="3"/>
      <c r="F338" s="3"/>
      <c r="G338" s="3"/>
      <c r="H338" s="3"/>
      <c r="I338" s="3"/>
      <c r="J338" s="3"/>
      <c r="K338" s="3"/>
    </row>
    <row r="339" spans="2:11" x14ac:dyDescent="0.25">
      <c r="B339" s="3"/>
      <c r="C339" s="3"/>
      <c r="D339" s="3"/>
      <c r="E339" s="3"/>
      <c r="F339" s="3"/>
      <c r="G339" s="3"/>
      <c r="H339" s="3"/>
      <c r="I339" s="3"/>
      <c r="J339" s="3"/>
      <c r="K339" s="3"/>
    </row>
    <row r="340" spans="2:11" x14ac:dyDescent="0.25">
      <c r="B340" s="3"/>
      <c r="C340" s="3"/>
      <c r="D340" s="3"/>
      <c r="E340" s="3"/>
      <c r="F340" s="3"/>
      <c r="G340" s="3"/>
      <c r="H340" s="3"/>
      <c r="I340" s="3"/>
      <c r="J340" s="3"/>
      <c r="K340" s="3"/>
    </row>
    <row r="341" spans="2:11" x14ac:dyDescent="0.25">
      <c r="B341" s="3"/>
      <c r="C341" s="3"/>
      <c r="D341" s="3"/>
      <c r="E341" s="3"/>
      <c r="F341" s="3"/>
      <c r="G341" s="3"/>
      <c r="H341" s="3"/>
      <c r="I341" s="3"/>
      <c r="J341" s="3"/>
      <c r="K341" s="3"/>
    </row>
    <row r="342" spans="2:11" x14ac:dyDescent="0.25">
      <c r="B342" s="3"/>
      <c r="C342" s="3"/>
      <c r="D342" s="3"/>
      <c r="E342" s="3"/>
      <c r="F342" s="3"/>
      <c r="G342" s="3"/>
      <c r="H342" s="3"/>
      <c r="I342" s="3"/>
      <c r="J342" s="3"/>
      <c r="K342" s="3"/>
    </row>
  </sheetData>
  <mergeCells count="2">
    <mergeCell ref="B5:M5"/>
    <mergeCell ref="AD5:AJ5"/>
  </mergeCells>
  <dataValidations count="19">
    <dataValidation type="list" allowBlank="1" showInputMessage="1" showErrorMessage="1" sqref="I43:I62 I91:I110 I115:I134 I139:I158 I163:I182 I187:I202 I211:I230" xr:uid="{00000000-0002-0000-0200-000000000000}">
      <formula1>"elastic,elastoplastic"</formula1>
    </dataValidation>
    <dataValidation type="list" allowBlank="1" showInputMessage="1" showErrorMessage="1" sqref="M211:M230 P43:Q62 P67:Q67 P70:Q70" xr:uid="{00000000-0002-0000-0200-000001000000}">
      <formula1>"yes,no"</formula1>
    </dataValidation>
    <dataValidation type="list" allowBlank="1" showInputMessage="1" showErrorMessage="1" sqref="N115:N134 O187:O202" xr:uid="{00000000-0002-0000-0200-000002000000}">
      <formula1>"linear,layer_dependent"</formula1>
    </dataValidation>
    <dataValidation type="list" allowBlank="1" showInputMessage="1" showErrorMessage="1" sqref="H187:H202" xr:uid="{00000000-0002-0000-0200-000003000000}">
      <formula1>"solid_circular,circular_tube,square"</formula1>
    </dataValidation>
    <dataValidation type="list" allowBlank="1" showInputMessage="1" showErrorMessage="1" sqref="H139:H158 H177:H182" xr:uid="{00000000-0002-0000-0200-000004000000}">
      <formula1>"strut_beam, strut_circular, other"</formula1>
    </dataValidation>
    <dataValidation type="list" allowBlank="1" showInputMessage="1" showErrorMessage="1" sqref="L211:L214 O48 O67 O70" xr:uid="{00000000-0002-0000-0200-000005000000}">
      <formula1>"both, positive, negative"</formula1>
    </dataValidation>
    <dataValidation type="list" allowBlank="1" showInputMessage="1" showErrorMessage="1" sqref="H91:H110" xr:uid="{00000000-0002-0000-0200-000006000000}">
      <formula1>"round_bar,strand,other"</formula1>
    </dataValidation>
    <dataValidation type="list" allowBlank="1" showInputMessage="1" showErrorMessage="1" sqref="B7:B16" xr:uid="{00000000-0002-0000-0200-000007000000}">
      <formula1>"linear-elastic, sand-HS, sand-HSS, sand-SSC, clay-HS, clay-HSS, clay-SSC, silt-HS, silt-HSS, silt-SSC"</formula1>
    </dataValidation>
    <dataValidation type="list" allowBlank="1" showInputMessage="1" showErrorMessage="1" sqref="AD7:AD15" xr:uid="{00000000-0002-0000-0200-000008000000}">
      <formula1>"automatic, by_grain_s, manual"</formula1>
    </dataValidation>
    <dataValidation type="list" allowBlank="1" showInputMessage="1" showErrorMessage="1" sqref="J235:J334 K235:K328 K331:K334" xr:uid="{00000000-0002-0000-0200-000009000000}">
      <formula1>$C$7:$C$17</formula1>
    </dataValidation>
    <dataValidation type="list" allowBlank="1" showInputMessage="1" showErrorMessage="1" sqref="H115:H134" xr:uid="{00000000-0002-0000-0200-00000A000000}">
      <formula1>"grout_body, soil nail, other"</formula1>
    </dataValidation>
    <dataValidation type="list" allowBlank="1" showInputMessage="1" showErrorMessage="1" sqref="H163:H176" xr:uid="{00000000-0002-0000-0200-00000B000000}">
      <formula1>"FE_strut, other"</formula1>
    </dataValidation>
    <dataValidation type="list" allowBlank="1" showInputMessage="1" showErrorMessage="1" sqref="H67:H86" xr:uid="{00000000-0002-0000-0200-00000C000000}">
      <formula1>"primary, secondary"</formula1>
    </dataValidation>
    <dataValidation type="list" allowBlank="1" showInputMessage="1" showErrorMessage="1" sqref="I67:I86" xr:uid="{00000000-0002-0000-0200-00000D000000}">
      <formula1>"plate_elastic, plate_ePlastic, str_volume"</formula1>
    </dataValidation>
    <dataValidation type="list" allowBlank="1" showInputMessage="1" showErrorMessage="1" sqref="H211:H230" xr:uid="{00000000-0002-0000-0200-00000E000000}">
      <formula1>"geogrid, geotextile, other"</formula1>
    </dataValidation>
    <dataValidation type="list" allowBlank="1" showInputMessage="1" showErrorMessage="1" sqref="H43:H62" xr:uid="{00000000-0002-0000-0200-000010000000}">
      <formula1>"diaphragm_wall,concrete_slab,sheet_pile,custom_wall,lining,dummy,columns_equivalent,beams_equivalent,other"</formula1>
    </dataValidation>
    <dataValidation type="list" allowBlank="1" showInputMessage="1" showErrorMessage="1" sqref="O43:O46" xr:uid="{00000000-0002-0000-0200-000011000000}">
      <formula1>"both, positive, negative, none"</formula1>
    </dataValidation>
    <dataValidation type="list" allowBlank="1" showInputMessage="1" showErrorMessage="1" sqref="K3" xr:uid="{00000000-0002-0000-0200-000012000000}">
      <formula1>"included, excluded"</formula1>
    </dataValidation>
    <dataValidation type="list" allowBlank="1" showInputMessage="1" showErrorMessage="1" sqref="H307 H308 H309 H310 H311 H312 H313 H314 H315 H316 H317 H318 H319 H320 H321 H322 H323 H324 H325 H326 H327 H328" xr:uid="{DB419C99-7603-4F20-BA9D-A62E896A6FFF}">
      <formula1>_xlfn._LONGTEXT("none,str_volume,str_vol_posinterface,str_vol_neginterface,str_vol_bothinterface,str_vol_neg_EXboth,str_vol_neg_EXtop,str_vol_neg_EXbot,str_vol_neg_EXleft,str_vol_neg_EXright,str_vol_pos_EXboth,str_vol_pos_EXtop,str_vol_pos_EXbot,str_vol_pos_EXleft,str_vol","_pos_EX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1075" r:id="rId3" name="Button 3">
              <controlPr defaultSize="0" print="0" autoFill="0" autoPict="0" macro="[0]!Run_sc4">
                <anchor moveWithCells="1" sizeWithCells="1">
                  <from>
                    <xdr:col>1</xdr:col>
                    <xdr:colOff>295275</xdr:colOff>
                    <xdr:row>0</xdr:row>
                    <xdr:rowOff>180975</xdr:rowOff>
                  </from>
                  <to>
                    <xdr:col>1</xdr:col>
                    <xdr:colOff>2105025</xdr:colOff>
                    <xdr:row>2</xdr:row>
                    <xdr:rowOff>180975</xdr:rowOff>
                  </to>
                </anchor>
              </controlPr>
            </control>
          </mc:Choice>
        </mc:AlternateContent>
        <mc:AlternateContent xmlns:mc="http://schemas.openxmlformats.org/markup-compatibility/2006">
          <mc:Choice Requires="x14">
            <control shapeId="131076" r:id="rId4" name="Button 4">
              <controlPr defaultSize="0" print="0" autoFill="0" autoPict="0" macro="[0]!Run_sc5">
                <anchor moveWithCells="1" sizeWithCells="1">
                  <from>
                    <xdr:col>3</xdr:col>
                    <xdr:colOff>9525</xdr:colOff>
                    <xdr:row>0</xdr:row>
                    <xdr:rowOff>171450</xdr:rowOff>
                  </from>
                  <to>
                    <xdr:col>5</xdr:col>
                    <xdr:colOff>447675</xdr:colOff>
                    <xdr:row>2</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79998168889431442"/>
  </sheetPr>
  <dimension ref="A1:BJ117"/>
  <sheetViews>
    <sheetView tabSelected="1" zoomScale="85" zoomScaleNormal="85" workbookViewId="0">
      <pane xSplit="11" ySplit="6" topLeftCell="P7" activePane="bottomRight" state="frozenSplit"/>
      <selection activeCell="X14" sqref="X14"/>
      <selection pane="topRight" activeCell="X14" sqref="X14"/>
      <selection pane="bottomLeft" activeCell="X14" sqref="X14"/>
      <selection pane="bottomRight" activeCell="P24" sqref="P24"/>
    </sheetView>
  </sheetViews>
  <sheetFormatPr defaultRowHeight="15.75" x14ac:dyDescent="0.25"/>
  <cols>
    <col min="2" max="2" width="35.125" customWidth="1"/>
    <col min="3" max="3" width="20" style="62" hidden="1" customWidth="1"/>
    <col min="4" max="4" width="27.5" customWidth="1"/>
    <col min="5" max="5" width="37.5" style="62" hidden="1" customWidth="1"/>
    <col min="6" max="9" width="9" style="62" hidden="1" customWidth="1"/>
    <col min="10" max="10" width="11.75" bestFit="1" customWidth="1"/>
    <col min="11" max="11" width="3.5" style="55" customWidth="1"/>
    <col min="14" max="15" width="10.125" bestFit="1" customWidth="1"/>
    <col min="16" max="16" width="12.375" bestFit="1" customWidth="1"/>
    <col min="17" max="17" width="10.25" bestFit="1" customWidth="1"/>
    <col min="18" max="18" width="12.375" bestFit="1" customWidth="1"/>
    <col min="19" max="19" width="10.25" bestFit="1" customWidth="1"/>
    <col min="20" max="20" width="12.375" bestFit="1" customWidth="1"/>
    <col min="21" max="21" width="10.5" bestFit="1" customWidth="1"/>
    <col min="22" max="22" width="12.375" bestFit="1" customWidth="1"/>
    <col min="24" max="24" width="14" customWidth="1"/>
  </cols>
  <sheetData>
    <row r="1" spans="1:62" x14ac:dyDescent="0.25">
      <c r="J1" s="26" t="s">
        <v>260</v>
      </c>
      <c r="L1" s="26" t="s">
        <v>261</v>
      </c>
      <c r="M1" s="26" t="s">
        <v>262</v>
      </c>
      <c r="N1" s="26" t="s">
        <v>262</v>
      </c>
      <c r="O1" s="26" t="s">
        <v>262</v>
      </c>
      <c r="P1" s="26" t="s">
        <v>262</v>
      </c>
      <c r="Q1" s="26" t="s">
        <v>262</v>
      </c>
      <c r="R1" s="26" t="s">
        <v>262</v>
      </c>
      <c r="S1" s="26" t="s">
        <v>262</v>
      </c>
      <c r="T1" s="26" t="s">
        <v>262</v>
      </c>
      <c r="U1" s="26" t="s">
        <v>262</v>
      </c>
      <c r="V1" s="26" t="s">
        <v>262</v>
      </c>
      <c r="W1" s="26" t="s">
        <v>262</v>
      </c>
      <c r="X1" s="26" t="s">
        <v>262</v>
      </c>
      <c r="Y1" s="26" t="s">
        <v>262</v>
      </c>
      <c r="Z1" s="26" t="s">
        <v>262</v>
      </c>
      <c r="AA1" s="26" t="s">
        <v>262</v>
      </c>
      <c r="AB1" s="26" t="s">
        <v>262</v>
      </c>
      <c r="AC1" s="26"/>
      <c r="AD1" s="26"/>
      <c r="AE1" s="26"/>
      <c r="AF1" s="26"/>
      <c r="AG1" s="26"/>
      <c r="AH1" s="26"/>
    </row>
    <row r="2" spans="1:62" x14ac:dyDescent="0.25">
      <c r="J2" s="26" t="s">
        <v>263</v>
      </c>
      <c r="L2" s="26"/>
      <c r="M2" s="26">
        <v>1</v>
      </c>
      <c r="N2" s="26">
        <v>1</v>
      </c>
      <c r="O2" s="26">
        <v>1</v>
      </c>
      <c r="P2" s="26">
        <v>1</v>
      </c>
      <c r="Q2" s="26">
        <v>1</v>
      </c>
      <c r="R2" s="26">
        <v>1</v>
      </c>
      <c r="S2" s="26">
        <v>1</v>
      </c>
      <c r="T2" s="26">
        <v>1</v>
      </c>
      <c r="U2" s="26">
        <v>1</v>
      </c>
      <c r="V2" s="26">
        <v>1</v>
      </c>
      <c r="W2" s="26">
        <v>1</v>
      </c>
      <c r="X2" s="26">
        <v>1</v>
      </c>
      <c r="Y2" s="26">
        <v>1</v>
      </c>
      <c r="Z2" s="26">
        <v>1</v>
      </c>
      <c r="AA2" s="26">
        <v>1</v>
      </c>
      <c r="AB2" s="26">
        <v>1</v>
      </c>
      <c r="AC2" s="26"/>
      <c r="AD2" s="26"/>
      <c r="AE2" s="26"/>
      <c r="AF2" s="26"/>
      <c r="AG2" s="26"/>
      <c r="AH2" s="26"/>
    </row>
    <row r="3" spans="1:62" x14ac:dyDescent="0.25">
      <c r="J3" t="s">
        <v>264</v>
      </c>
      <c r="M3" t="s">
        <v>168</v>
      </c>
      <c r="N3" t="s">
        <v>168</v>
      </c>
      <c r="O3" t="s">
        <v>168</v>
      </c>
      <c r="P3" t="s">
        <v>168</v>
      </c>
      <c r="Q3" t="s">
        <v>168</v>
      </c>
      <c r="R3" t="s">
        <v>168</v>
      </c>
      <c r="S3" t="s">
        <v>168</v>
      </c>
      <c r="T3" t="s">
        <v>168</v>
      </c>
      <c r="U3" t="s">
        <v>168</v>
      </c>
      <c r="V3" t="s">
        <v>168</v>
      </c>
      <c r="W3" t="s">
        <v>168</v>
      </c>
      <c r="X3" t="s">
        <v>168</v>
      </c>
      <c r="Y3" t="s">
        <v>168</v>
      </c>
      <c r="Z3" t="s">
        <v>168</v>
      </c>
      <c r="AA3" t="s">
        <v>168</v>
      </c>
      <c r="AB3" t="s">
        <v>168</v>
      </c>
    </row>
    <row r="4" spans="1:62" x14ac:dyDescent="0.25">
      <c r="B4" s="56"/>
      <c r="D4" s="56"/>
      <c r="F4" s="66"/>
      <c r="J4" t="s">
        <v>265</v>
      </c>
    </row>
    <row r="5" spans="1:62" x14ac:dyDescent="0.25">
      <c r="B5" t="s">
        <v>519</v>
      </c>
      <c r="F5" s="66"/>
    </row>
    <row r="6" spans="1:62" x14ac:dyDescent="0.25">
      <c r="A6" t="s">
        <v>266</v>
      </c>
      <c r="B6" s="39" t="s">
        <v>267</v>
      </c>
      <c r="C6" s="63" t="s">
        <v>28</v>
      </c>
      <c r="D6" s="61" t="s">
        <v>268</v>
      </c>
      <c r="E6" s="63" t="s">
        <v>113</v>
      </c>
      <c r="F6" s="63" t="s">
        <v>114</v>
      </c>
      <c r="G6" s="63" t="s">
        <v>115</v>
      </c>
      <c r="H6" s="63" t="s">
        <v>116</v>
      </c>
      <c r="I6" s="63" t="s">
        <v>117</v>
      </c>
      <c r="J6" s="39" t="s">
        <v>269</v>
      </c>
      <c r="L6" s="39" t="s">
        <v>270</v>
      </c>
      <c r="M6" s="39" t="s">
        <v>271</v>
      </c>
      <c r="N6" s="39" t="s">
        <v>272</v>
      </c>
      <c r="O6" s="39" t="s">
        <v>273</v>
      </c>
      <c r="P6" s="39" t="s">
        <v>274</v>
      </c>
      <c r="Q6" s="39" t="s">
        <v>275</v>
      </c>
      <c r="R6" s="39" t="s">
        <v>276</v>
      </c>
      <c r="S6" s="39" t="s">
        <v>277</v>
      </c>
      <c r="T6" s="39" t="s">
        <v>278</v>
      </c>
      <c r="U6" s="39" t="s">
        <v>279</v>
      </c>
      <c r="V6" s="39" t="s">
        <v>280</v>
      </c>
      <c r="W6" s="39" t="s">
        <v>281</v>
      </c>
      <c r="X6" s="39" t="s">
        <v>282</v>
      </c>
      <c r="Y6" s="39" t="s">
        <v>283</v>
      </c>
      <c r="Z6" s="39" t="s">
        <v>284</v>
      </c>
      <c r="AA6" s="39" t="s">
        <v>285</v>
      </c>
      <c r="AB6" s="39" t="s">
        <v>286</v>
      </c>
      <c r="AC6" s="39" t="s">
        <v>287</v>
      </c>
      <c r="AD6" s="39" t="s">
        <v>288</v>
      </c>
      <c r="AE6" s="39" t="s">
        <v>289</v>
      </c>
      <c r="AF6" s="39" t="s">
        <v>290</v>
      </c>
      <c r="AG6" s="39" t="s">
        <v>291</v>
      </c>
      <c r="AH6" s="39" t="s">
        <v>292</v>
      </c>
      <c r="AI6" s="39" t="s">
        <v>293</v>
      </c>
      <c r="AJ6" s="39" t="s">
        <v>294</v>
      </c>
      <c r="AK6" s="39" t="s">
        <v>295</v>
      </c>
      <c r="AL6" s="39" t="s">
        <v>296</v>
      </c>
      <c r="AM6" s="39" t="s">
        <v>297</v>
      </c>
      <c r="AN6" s="39" t="s">
        <v>298</v>
      </c>
      <c r="AO6" s="39" t="s">
        <v>299</v>
      </c>
      <c r="AP6" s="39" t="s">
        <v>300</v>
      </c>
      <c r="AQ6" s="39" t="s">
        <v>301</v>
      </c>
      <c r="AR6" s="39" t="s">
        <v>302</v>
      </c>
      <c r="AS6" s="39" t="s">
        <v>303</v>
      </c>
      <c r="AT6" s="39" t="s">
        <v>304</v>
      </c>
      <c r="AU6" s="39" t="s">
        <v>305</v>
      </c>
      <c r="AV6" s="39" t="s">
        <v>306</v>
      </c>
      <c r="AW6" s="39" t="s">
        <v>307</v>
      </c>
      <c r="AX6" s="39" t="s">
        <v>308</v>
      </c>
      <c r="AY6" s="39" t="s">
        <v>309</v>
      </c>
      <c r="AZ6" s="39" t="s">
        <v>310</v>
      </c>
      <c r="BA6" s="39" t="s">
        <v>311</v>
      </c>
      <c r="BB6" s="39" t="s">
        <v>312</v>
      </c>
      <c r="BC6" s="39" t="s">
        <v>313</v>
      </c>
      <c r="BD6" s="39" t="s">
        <v>314</v>
      </c>
      <c r="BE6" s="39" t="s">
        <v>315</v>
      </c>
      <c r="BF6" s="39" t="s">
        <v>316</v>
      </c>
      <c r="BG6" s="39" t="s">
        <v>317</v>
      </c>
      <c r="BH6" s="39" t="s">
        <v>318</v>
      </c>
      <c r="BI6" s="39" t="s">
        <v>319</v>
      </c>
      <c r="BJ6" s="39" t="s">
        <v>320</v>
      </c>
    </row>
    <row r="7" spans="1:62" x14ac:dyDescent="0.25">
      <c r="A7">
        <v>1</v>
      </c>
      <c r="B7" s="3" t="s">
        <v>510</v>
      </c>
      <c r="C7" s="64" t="s">
        <v>510</v>
      </c>
      <c r="D7" s="3" t="s">
        <v>321</v>
      </c>
      <c r="E7" s="64" t="s">
        <v>508</v>
      </c>
      <c r="F7" s="64">
        <v>131.52799999999999</v>
      </c>
      <c r="G7" s="64">
        <v>3.9940000000000002</v>
      </c>
      <c r="H7" s="64">
        <v>131.52799999999999</v>
      </c>
      <c r="I7" s="64">
        <v>-50.345999999999997</v>
      </c>
      <c r="J7" s="3"/>
      <c r="L7" s="3"/>
      <c r="M7" s="3"/>
      <c r="N7" s="3"/>
      <c r="O7" s="3" t="s">
        <v>15</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row>
    <row r="8" spans="1:62" x14ac:dyDescent="0.25">
      <c r="A8">
        <v>2</v>
      </c>
      <c r="B8" s="3" t="s">
        <v>510</v>
      </c>
      <c r="C8" s="64" t="s">
        <v>510</v>
      </c>
      <c r="D8" s="3" t="s">
        <v>322</v>
      </c>
      <c r="E8" s="64" t="s">
        <v>508</v>
      </c>
      <c r="F8" s="64">
        <v>131.52799999999999</v>
      </c>
      <c r="G8" s="64">
        <v>3.9940000000000002</v>
      </c>
      <c r="H8" s="64">
        <v>131.52799999999999</v>
      </c>
      <c r="I8" s="64">
        <v>5.6840000000000002</v>
      </c>
      <c r="J8" s="3"/>
      <c r="L8" s="3"/>
      <c r="M8" s="3"/>
      <c r="N8" s="3"/>
      <c r="O8" s="3" t="s">
        <v>15</v>
      </c>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row>
    <row r="9" spans="1:62" x14ac:dyDescent="0.25">
      <c r="A9">
        <v>3</v>
      </c>
      <c r="B9" s="3" t="s">
        <v>323</v>
      </c>
      <c r="C9" s="64" t="s">
        <v>158</v>
      </c>
      <c r="D9" s="3" t="s">
        <v>324</v>
      </c>
      <c r="E9" s="64" t="s">
        <v>509</v>
      </c>
      <c r="F9" s="64">
        <v>103.495</v>
      </c>
      <c r="G9" s="64">
        <v>5.4</v>
      </c>
      <c r="H9" s="64">
        <v>103.495</v>
      </c>
      <c r="I9" s="64">
        <v>-13.6</v>
      </c>
      <c r="J9" s="3"/>
      <c r="L9" s="3"/>
      <c r="M9" s="3"/>
      <c r="N9" s="3"/>
      <c r="O9" s="3"/>
      <c r="P9" s="3"/>
      <c r="Q9" s="3"/>
      <c r="R9" s="3" t="s">
        <v>15</v>
      </c>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row>
    <row r="10" spans="1:62" x14ac:dyDescent="0.25">
      <c r="A10">
        <v>4</v>
      </c>
      <c r="B10" s="3" t="s">
        <v>323</v>
      </c>
      <c r="C10" s="64" t="s">
        <v>158</v>
      </c>
      <c r="D10" s="3" t="s">
        <v>325</v>
      </c>
      <c r="E10" s="64" t="s">
        <v>509</v>
      </c>
      <c r="F10" s="64">
        <v>103.495</v>
      </c>
      <c r="G10" s="64">
        <v>5.4</v>
      </c>
      <c r="H10" s="64">
        <v>103.495</v>
      </c>
      <c r="I10" s="64">
        <v>5.9</v>
      </c>
      <c r="J10" s="3"/>
      <c r="L10" s="3"/>
      <c r="M10" s="3"/>
      <c r="N10" s="3"/>
      <c r="O10" s="3"/>
      <c r="P10" s="3"/>
      <c r="Q10" s="3"/>
      <c r="R10" s="3" t="s">
        <v>15</v>
      </c>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row>
    <row r="11" spans="1:62" x14ac:dyDescent="0.25">
      <c r="A11">
        <v>5</v>
      </c>
      <c r="B11" s="3" t="s">
        <v>501</v>
      </c>
      <c r="C11" s="64" t="s">
        <v>499</v>
      </c>
      <c r="D11" s="3" t="s">
        <v>326</v>
      </c>
      <c r="E11" s="64" t="s">
        <v>500</v>
      </c>
      <c r="F11" s="64">
        <v>77.679000000000002</v>
      </c>
      <c r="G11" s="64">
        <v>10.5</v>
      </c>
      <c r="H11" s="64">
        <v>103.995</v>
      </c>
      <c r="I11" s="64">
        <v>10.5</v>
      </c>
      <c r="J11" s="3"/>
      <c r="L11" s="3"/>
      <c r="M11" s="3"/>
      <c r="N11" s="3"/>
      <c r="O11" s="3"/>
      <c r="P11" s="3"/>
      <c r="Q11" s="3"/>
      <c r="R11" s="3"/>
      <c r="S11" s="3"/>
      <c r="T11" s="3" t="s">
        <v>15</v>
      </c>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row>
    <row r="12" spans="1:62" x14ac:dyDescent="0.25">
      <c r="A12">
        <v>6</v>
      </c>
      <c r="B12" s="3" t="s">
        <v>327</v>
      </c>
      <c r="C12" s="64" t="s">
        <v>210</v>
      </c>
      <c r="D12" s="3" t="s">
        <v>328</v>
      </c>
      <c r="E12" s="64" t="s">
        <v>329</v>
      </c>
      <c r="F12" s="64">
        <v>137.61199999999999</v>
      </c>
      <c r="G12" s="64">
        <v>5.4</v>
      </c>
      <c r="H12" s="64">
        <v>137.61199999999999</v>
      </c>
      <c r="I12" s="64">
        <v>-55.4</v>
      </c>
      <c r="J12" s="3"/>
      <c r="L12" s="3"/>
      <c r="M12" s="3"/>
      <c r="N12" s="3" t="s">
        <v>15</v>
      </c>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row>
    <row r="13" spans="1:62" x14ac:dyDescent="0.25">
      <c r="A13">
        <v>7</v>
      </c>
      <c r="B13" s="3" t="s">
        <v>330</v>
      </c>
      <c r="C13" s="64" t="s">
        <v>210</v>
      </c>
      <c r="D13" s="3" t="s">
        <v>331</v>
      </c>
      <c r="E13" s="64" t="s">
        <v>332</v>
      </c>
      <c r="F13" s="64">
        <v>119.44</v>
      </c>
      <c r="G13" s="64">
        <v>6.1150000000000002</v>
      </c>
      <c r="H13" s="64">
        <v>125.59</v>
      </c>
      <c r="I13" s="64">
        <v>-43.975000000000001</v>
      </c>
      <c r="J13" s="3"/>
      <c r="L13" s="3"/>
      <c r="M13" s="3"/>
      <c r="N13" s="3"/>
      <c r="O13" s="3"/>
      <c r="P13" s="3"/>
      <c r="Q13" s="3" t="s">
        <v>15</v>
      </c>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row>
    <row r="14" spans="1:62" x14ac:dyDescent="0.25">
      <c r="A14">
        <v>8</v>
      </c>
      <c r="B14" s="3" t="s">
        <v>517</v>
      </c>
      <c r="C14" s="64" t="s">
        <v>515</v>
      </c>
      <c r="D14" s="3" t="s">
        <v>333</v>
      </c>
      <c r="E14" s="64" t="s">
        <v>332</v>
      </c>
      <c r="F14" s="64">
        <v>111.44</v>
      </c>
      <c r="G14" s="64">
        <v>6.1150000000000002</v>
      </c>
      <c r="H14" s="64">
        <v>117.10299999999999</v>
      </c>
      <c r="I14" s="64">
        <v>-40.005000000000003</v>
      </c>
      <c r="J14" s="3"/>
      <c r="L14" s="3"/>
      <c r="M14" s="3"/>
      <c r="N14" s="3"/>
      <c r="O14" s="3"/>
      <c r="P14" s="3"/>
      <c r="Q14" s="3" t="s">
        <v>15</v>
      </c>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row>
    <row r="15" spans="1:62" x14ac:dyDescent="0.25">
      <c r="A15">
        <v>9</v>
      </c>
      <c r="B15" s="3" t="s">
        <v>518</v>
      </c>
      <c r="C15" s="64" t="s">
        <v>516</v>
      </c>
      <c r="D15" s="3" t="s">
        <v>334</v>
      </c>
      <c r="E15" s="64" t="s">
        <v>332</v>
      </c>
      <c r="F15" s="64">
        <v>104.745</v>
      </c>
      <c r="G15" s="64">
        <v>6.1150000000000002</v>
      </c>
      <c r="H15" s="64">
        <v>104.745</v>
      </c>
      <c r="I15" s="64">
        <v>-32.76</v>
      </c>
      <c r="J15" s="3"/>
      <c r="L15" s="3"/>
      <c r="M15" s="3"/>
      <c r="N15" s="3"/>
      <c r="O15" s="3"/>
      <c r="P15" s="3"/>
      <c r="Q15" s="3" t="s">
        <v>15</v>
      </c>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row>
    <row r="16" spans="1:62" x14ac:dyDescent="0.25">
      <c r="A16">
        <v>10</v>
      </c>
      <c r="B16" s="3" t="s">
        <v>330</v>
      </c>
      <c r="C16" s="64" t="s">
        <v>210</v>
      </c>
      <c r="D16" s="3" t="s">
        <v>335</v>
      </c>
      <c r="E16" s="64" t="s">
        <v>332</v>
      </c>
      <c r="F16" s="64">
        <v>76.588999999999999</v>
      </c>
      <c r="G16" s="64">
        <v>10.5</v>
      </c>
      <c r="H16" s="64">
        <v>84.361000000000004</v>
      </c>
      <c r="I16" s="64">
        <v>-26.064</v>
      </c>
      <c r="J16" s="3"/>
      <c r="L16" s="3"/>
      <c r="M16" s="3"/>
      <c r="N16" s="3"/>
      <c r="O16" s="3"/>
      <c r="P16" s="3"/>
      <c r="Q16" s="3"/>
      <c r="R16" s="3" t="s">
        <v>15</v>
      </c>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row>
    <row r="17" spans="1:62" x14ac:dyDescent="0.25">
      <c r="A17">
        <v>11</v>
      </c>
      <c r="B17" s="3" t="s">
        <v>330</v>
      </c>
      <c r="C17" s="64" t="s">
        <v>210</v>
      </c>
      <c r="D17" s="3" t="s">
        <v>336</v>
      </c>
      <c r="E17" s="64" t="s">
        <v>332</v>
      </c>
      <c r="F17" s="64">
        <v>76.27</v>
      </c>
      <c r="G17" s="64">
        <v>10.5</v>
      </c>
      <c r="H17" s="64">
        <v>68.498000000000005</v>
      </c>
      <c r="I17" s="64">
        <v>-26.064</v>
      </c>
      <c r="J17" s="3"/>
      <c r="L17" s="3"/>
      <c r="M17" s="3"/>
      <c r="N17" s="3"/>
      <c r="O17" s="3"/>
      <c r="P17" s="3"/>
      <c r="Q17" s="3"/>
      <c r="R17" s="3" t="s">
        <v>15</v>
      </c>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row>
    <row r="18" spans="1:62" x14ac:dyDescent="0.25">
      <c r="A18">
        <v>12</v>
      </c>
      <c r="B18" s="3" t="s">
        <v>330</v>
      </c>
      <c r="C18" s="64" t="s">
        <v>210</v>
      </c>
      <c r="D18" s="3" t="s">
        <v>337</v>
      </c>
      <c r="E18" s="64" t="s">
        <v>338</v>
      </c>
      <c r="F18" s="64">
        <v>131.172</v>
      </c>
      <c r="G18" s="64">
        <v>5.4</v>
      </c>
      <c r="H18" s="64">
        <v>71.557000000000002</v>
      </c>
      <c r="I18" s="64">
        <v>-42.180999999999997</v>
      </c>
      <c r="J18" s="3"/>
      <c r="L18" s="3"/>
      <c r="M18" s="3"/>
      <c r="N18" s="3"/>
      <c r="O18" s="3"/>
      <c r="P18" s="3" t="s">
        <v>15</v>
      </c>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row>
    <row r="19" spans="1:62" x14ac:dyDescent="0.25">
      <c r="A19">
        <v>13</v>
      </c>
      <c r="B19" s="3" t="s">
        <v>511</v>
      </c>
      <c r="C19" s="64" t="s">
        <v>142</v>
      </c>
      <c r="D19" s="3" t="s">
        <v>339</v>
      </c>
      <c r="E19" s="64" t="s">
        <v>508</v>
      </c>
      <c r="F19" s="64">
        <v>131.52799999999999</v>
      </c>
      <c r="G19" s="64">
        <v>3.9940000000000002</v>
      </c>
      <c r="H19" s="64">
        <v>131.52799999999999</v>
      </c>
      <c r="I19" s="64">
        <v>-50.345999999999997</v>
      </c>
      <c r="J19" s="3" t="s">
        <v>321</v>
      </c>
      <c r="L19" s="3"/>
      <c r="M19" s="3"/>
      <c r="N19" s="3"/>
      <c r="O19" s="3" t="s">
        <v>15</v>
      </c>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row>
    <row r="20" spans="1:62" x14ac:dyDescent="0.25">
      <c r="A20">
        <v>14</v>
      </c>
      <c r="B20" s="3" t="s">
        <v>512</v>
      </c>
      <c r="C20" s="64" t="s">
        <v>142</v>
      </c>
      <c r="D20" s="3" t="s">
        <v>340</v>
      </c>
      <c r="E20" s="64" t="s">
        <v>508</v>
      </c>
      <c r="F20" s="64">
        <v>131.52799999999999</v>
      </c>
      <c r="G20" s="64">
        <v>3.9940000000000002</v>
      </c>
      <c r="H20" s="64">
        <v>131.52799999999999</v>
      </c>
      <c r="I20" s="64">
        <v>-50.345999999999997</v>
      </c>
      <c r="J20" s="3" t="s">
        <v>321</v>
      </c>
      <c r="L20" s="3"/>
      <c r="M20" s="3"/>
      <c r="N20" s="3"/>
      <c r="O20" s="3" t="s">
        <v>15</v>
      </c>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row>
    <row r="21" spans="1:62" x14ac:dyDescent="0.25">
      <c r="A21">
        <v>15</v>
      </c>
      <c r="B21" s="3" t="s">
        <v>341</v>
      </c>
      <c r="C21" s="64" t="s">
        <v>142</v>
      </c>
      <c r="D21" s="3" t="s">
        <v>342</v>
      </c>
      <c r="E21" s="64" t="s">
        <v>509</v>
      </c>
      <c r="F21" s="64">
        <v>103.495</v>
      </c>
      <c r="G21" s="64">
        <v>5.4</v>
      </c>
      <c r="H21" s="64">
        <v>103.495</v>
      </c>
      <c r="I21" s="64">
        <v>-13.6</v>
      </c>
      <c r="J21" s="3" t="s">
        <v>324</v>
      </c>
      <c r="L21" s="3"/>
      <c r="M21" s="3"/>
      <c r="N21" s="3"/>
      <c r="O21" s="3"/>
      <c r="P21" s="3"/>
      <c r="Q21" s="3"/>
      <c r="R21" s="3" t="s">
        <v>15</v>
      </c>
      <c r="S21" s="3"/>
      <c r="T21" s="3"/>
      <c r="U21" s="3"/>
      <c r="V21" s="3"/>
      <c r="W21" s="3"/>
      <c r="X21" s="3"/>
      <c r="Y21" s="3"/>
      <c r="Z21" s="3"/>
      <c r="AA21" s="3"/>
      <c r="AB21" s="3"/>
      <c r="AC21" s="3"/>
      <c r="AD21" s="3"/>
      <c r="AE21" s="3"/>
      <c r="AF21" s="3"/>
      <c r="AG21" s="3"/>
      <c r="AH21" s="3"/>
      <c r="AI21" s="3"/>
      <c r="AJ21" s="3"/>
      <c r="AK21" s="3"/>
      <c r="AL21" s="3"/>
      <c r="AM21" s="3"/>
      <c r="AN21" s="41"/>
      <c r="AO21" s="3"/>
      <c r="AP21" s="3"/>
      <c r="AQ21" s="3"/>
      <c r="AR21" s="3"/>
      <c r="AS21" s="3"/>
      <c r="AT21" s="3"/>
      <c r="AU21" s="3"/>
      <c r="AV21" s="3"/>
      <c r="AW21" s="3"/>
      <c r="AX21" s="3"/>
      <c r="AY21" s="3"/>
      <c r="AZ21" s="3"/>
      <c r="BA21" s="3"/>
      <c r="BB21" s="3"/>
      <c r="BC21" s="3"/>
      <c r="BD21" s="3"/>
      <c r="BE21" s="3"/>
      <c r="BF21" s="3"/>
      <c r="BG21" s="3"/>
      <c r="BH21" s="3"/>
      <c r="BI21" s="3"/>
      <c r="BJ21" s="3"/>
    </row>
    <row r="22" spans="1:62" x14ac:dyDescent="0.25">
      <c r="A22">
        <v>16</v>
      </c>
      <c r="B22" s="3" t="s">
        <v>343</v>
      </c>
      <c r="C22" s="64" t="s">
        <v>142</v>
      </c>
      <c r="D22" s="3" t="s">
        <v>344</v>
      </c>
      <c r="E22" s="64" t="s">
        <v>509</v>
      </c>
      <c r="F22" s="64">
        <v>103.495</v>
      </c>
      <c r="G22" s="64">
        <v>5.4</v>
      </c>
      <c r="H22" s="64">
        <v>103.495</v>
      </c>
      <c r="I22" s="64">
        <v>-13.6</v>
      </c>
      <c r="J22" s="3" t="s">
        <v>324</v>
      </c>
      <c r="L22" s="3"/>
      <c r="M22" s="3"/>
      <c r="N22" s="3"/>
      <c r="O22" s="3"/>
      <c r="P22" s="3"/>
      <c r="Q22" s="3"/>
      <c r="R22" s="3" t="s">
        <v>15</v>
      </c>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row>
    <row r="23" spans="1:62" x14ac:dyDescent="0.25">
      <c r="A23">
        <v>17</v>
      </c>
      <c r="B23" s="3" t="s">
        <v>345</v>
      </c>
      <c r="C23" s="64" t="s">
        <v>142</v>
      </c>
      <c r="D23" s="3" t="s">
        <v>346</v>
      </c>
      <c r="E23" s="64" t="s">
        <v>253</v>
      </c>
      <c r="F23" s="64">
        <v>75.179000000000002</v>
      </c>
      <c r="G23" s="64">
        <v>12.1</v>
      </c>
      <c r="H23" s="64">
        <v>75.179000000000002</v>
      </c>
      <c r="I23" s="64">
        <v>8.6</v>
      </c>
      <c r="J23" s="3" t="s">
        <v>347</v>
      </c>
      <c r="L23" s="3"/>
      <c r="M23" s="3"/>
      <c r="N23" s="3"/>
      <c r="O23" s="3"/>
      <c r="P23" s="3"/>
      <c r="Q23" s="3"/>
      <c r="R23" s="3"/>
      <c r="S23" s="3" t="s">
        <v>15</v>
      </c>
      <c r="T23" s="3"/>
      <c r="U23" s="3" t="s">
        <v>15</v>
      </c>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row>
    <row r="24" spans="1:62" x14ac:dyDescent="0.25">
      <c r="A24">
        <v>18</v>
      </c>
      <c r="B24" s="3" t="s">
        <v>345</v>
      </c>
      <c r="C24" s="64" t="s">
        <v>142</v>
      </c>
      <c r="D24" s="3" t="s">
        <v>348</v>
      </c>
      <c r="E24" s="64" t="s">
        <v>253</v>
      </c>
      <c r="F24" s="64">
        <v>74.879000000000005</v>
      </c>
      <c r="G24" s="64">
        <v>8.9</v>
      </c>
      <c r="H24" s="64">
        <v>77.978999999999999</v>
      </c>
      <c r="I24" s="64">
        <v>8.9</v>
      </c>
      <c r="J24" s="3" t="s">
        <v>347</v>
      </c>
      <c r="L24" s="3"/>
      <c r="M24" s="3"/>
      <c r="N24" s="3"/>
      <c r="O24" s="3"/>
      <c r="P24" s="3"/>
      <c r="Q24" s="3"/>
      <c r="R24" s="3"/>
      <c r="S24" s="3" t="s">
        <v>15</v>
      </c>
      <c r="T24" s="3"/>
      <c r="U24" s="3" t="s">
        <v>15</v>
      </c>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row>
    <row r="25" spans="1:62" x14ac:dyDescent="0.25">
      <c r="A25">
        <v>19</v>
      </c>
      <c r="B25" s="3" t="s">
        <v>345</v>
      </c>
      <c r="C25" s="64" t="s">
        <v>142</v>
      </c>
      <c r="D25" s="3" t="s">
        <v>349</v>
      </c>
      <c r="E25" s="64" t="s">
        <v>253</v>
      </c>
      <c r="F25" s="64">
        <v>77.679000000000002</v>
      </c>
      <c r="G25" s="64">
        <v>8.6</v>
      </c>
      <c r="H25" s="64">
        <v>77.679000000000002</v>
      </c>
      <c r="I25" s="64">
        <v>12.1</v>
      </c>
      <c r="J25" s="3" t="s">
        <v>347</v>
      </c>
      <c r="L25" s="3"/>
      <c r="M25" s="3"/>
      <c r="N25" s="3"/>
      <c r="O25" s="3"/>
      <c r="P25" s="3"/>
      <c r="Q25" s="3"/>
      <c r="R25" s="3"/>
      <c r="S25" s="3" t="s">
        <v>15</v>
      </c>
      <c r="T25" s="3"/>
      <c r="U25" s="3" t="s">
        <v>15</v>
      </c>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row>
    <row r="26" spans="1:62" x14ac:dyDescent="0.25">
      <c r="A26">
        <v>20</v>
      </c>
      <c r="B26" s="3" t="s">
        <v>350</v>
      </c>
      <c r="C26" s="64" t="s">
        <v>142</v>
      </c>
      <c r="D26" s="3" t="s">
        <v>351</v>
      </c>
      <c r="E26" s="64" t="s">
        <v>253</v>
      </c>
      <c r="F26" s="64">
        <v>103.995</v>
      </c>
      <c r="G26" s="64">
        <v>12.1</v>
      </c>
      <c r="H26" s="64">
        <v>103.995</v>
      </c>
      <c r="I26" s="64">
        <v>6.1150000000000002</v>
      </c>
      <c r="J26" s="3" t="s">
        <v>352</v>
      </c>
      <c r="L26" s="3"/>
      <c r="M26" s="3"/>
      <c r="N26" s="3"/>
      <c r="O26" s="3"/>
      <c r="P26" s="3"/>
      <c r="Q26" s="3"/>
      <c r="R26" s="3"/>
      <c r="S26" s="3" t="s">
        <v>15</v>
      </c>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row>
    <row r="27" spans="1:62" x14ac:dyDescent="0.25">
      <c r="A27">
        <v>21</v>
      </c>
      <c r="B27" s="3" t="s">
        <v>350</v>
      </c>
      <c r="C27" s="64" t="s">
        <v>142</v>
      </c>
      <c r="D27" s="3" t="s">
        <v>353</v>
      </c>
      <c r="E27" s="64" t="s">
        <v>253</v>
      </c>
      <c r="F27" s="64">
        <v>103.995</v>
      </c>
      <c r="G27" s="64">
        <v>6.1150000000000002</v>
      </c>
      <c r="H27" s="64">
        <v>102.69500000000001</v>
      </c>
      <c r="I27" s="64">
        <v>6.1150000000000002</v>
      </c>
      <c r="J27" s="3" t="s">
        <v>352</v>
      </c>
      <c r="L27" s="3"/>
      <c r="M27" s="3"/>
      <c r="N27" s="3"/>
      <c r="O27" s="3"/>
      <c r="P27" s="3"/>
      <c r="Q27" s="3"/>
      <c r="R27" s="3"/>
      <c r="S27" s="3" t="s">
        <v>15</v>
      </c>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row>
    <row r="28" spans="1:62" x14ac:dyDescent="0.25">
      <c r="A28">
        <v>22</v>
      </c>
      <c r="B28" s="3" t="s">
        <v>350</v>
      </c>
      <c r="C28" s="64" t="s">
        <v>142</v>
      </c>
      <c r="D28" s="3" t="s">
        <v>354</v>
      </c>
      <c r="E28" s="64" t="s">
        <v>253</v>
      </c>
      <c r="F28" s="64">
        <v>102.995</v>
      </c>
      <c r="G28" s="64">
        <v>6.415</v>
      </c>
      <c r="H28" s="64">
        <v>102.995</v>
      </c>
      <c r="I28" s="64">
        <v>5.1000000000000005</v>
      </c>
      <c r="J28" s="3" t="s">
        <v>352</v>
      </c>
      <c r="L28" s="3"/>
      <c r="M28" s="3"/>
      <c r="N28" s="3"/>
      <c r="O28" s="3"/>
      <c r="P28" s="3"/>
      <c r="Q28" s="3"/>
      <c r="R28" s="3"/>
      <c r="S28" s="3" t="s">
        <v>15</v>
      </c>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row>
    <row r="29" spans="1:62" x14ac:dyDescent="0.25">
      <c r="A29">
        <v>23</v>
      </c>
      <c r="B29" s="3" t="s">
        <v>350</v>
      </c>
      <c r="C29" s="64" t="s">
        <v>142</v>
      </c>
      <c r="D29" s="3" t="s">
        <v>355</v>
      </c>
      <c r="E29" s="64" t="s">
        <v>253</v>
      </c>
      <c r="F29" s="64">
        <v>102.69500000000001</v>
      </c>
      <c r="G29" s="64">
        <v>5.4</v>
      </c>
      <c r="H29" s="64">
        <v>128.495</v>
      </c>
      <c r="I29" s="64">
        <v>5.4</v>
      </c>
      <c r="J29" s="3" t="s">
        <v>352</v>
      </c>
      <c r="L29" s="3"/>
      <c r="M29" s="3"/>
      <c r="N29" s="3"/>
      <c r="O29" s="3"/>
      <c r="P29" s="3"/>
      <c r="Q29" s="3"/>
      <c r="R29" s="3"/>
      <c r="S29" s="3" t="s">
        <v>15</v>
      </c>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row>
    <row r="30" spans="1:62" x14ac:dyDescent="0.25">
      <c r="A30">
        <v>24</v>
      </c>
      <c r="B30" s="3" t="s">
        <v>350</v>
      </c>
      <c r="C30" s="64" t="s">
        <v>142</v>
      </c>
      <c r="D30" s="3" t="s">
        <v>356</v>
      </c>
      <c r="E30" s="64" t="s">
        <v>253</v>
      </c>
      <c r="F30" s="64">
        <v>128.495</v>
      </c>
      <c r="G30" s="64">
        <v>5.4</v>
      </c>
      <c r="H30" s="64">
        <v>130.27799999999999</v>
      </c>
      <c r="I30" s="64">
        <v>3.9940000000000002</v>
      </c>
      <c r="J30" s="3" t="s">
        <v>352</v>
      </c>
      <c r="L30" s="3"/>
      <c r="M30" s="3"/>
      <c r="N30" s="3"/>
      <c r="O30" s="3"/>
      <c r="P30" s="3"/>
      <c r="Q30" s="3"/>
      <c r="R30" s="3"/>
      <c r="S30" s="3" t="s">
        <v>15</v>
      </c>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row>
    <row r="31" spans="1:62" x14ac:dyDescent="0.25">
      <c r="A31">
        <v>25</v>
      </c>
      <c r="B31" s="3" t="s">
        <v>350</v>
      </c>
      <c r="C31" s="64" t="s">
        <v>142</v>
      </c>
      <c r="D31" s="3" t="s">
        <v>357</v>
      </c>
      <c r="E31" s="64" t="s">
        <v>253</v>
      </c>
      <c r="F31" s="64">
        <v>130.27799999999999</v>
      </c>
      <c r="G31" s="64">
        <v>3.9940000000000002</v>
      </c>
      <c r="H31" s="64">
        <v>132.77799999999999</v>
      </c>
      <c r="I31" s="64">
        <v>3.9940000000000002</v>
      </c>
      <c r="J31" s="3" t="s">
        <v>352</v>
      </c>
      <c r="L31" s="3"/>
      <c r="M31" s="3"/>
      <c r="N31" s="3"/>
      <c r="O31" s="3"/>
      <c r="P31" s="3"/>
      <c r="Q31" s="3"/>
      <c r="R31" s="3"/>
      <c r="S31" s="3" t="s">
        <v>15</v>
      </c>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row>
    <row r="32" spans="1:62" x14ac:dyDescent="0.25">
      <c r="A32">
        <v>26</v>
      </c>
      <c r="B32" s="3" t="s">
        <v>350</v>
      </c>
      <c r="C32" s="64" t="s">
        <v>142</v>
      </c>
      <c r="D32" s="3" t="s">
        <v>358</v>
      </c>
      <c r="E32" s="64" t="s">
        <v>253</v>
      </c>
      <c r="F32" s="64">
        <v>132.77799999999999</v>
      </c>
      <c r="G32" s="64">
        <v>3.9940000000000002</v>
      </c>
      <c r="H32" s="64">
        <v>133.495</v>
      </c>
      <c r="I32" s="64">
        <v>4.5999999999999996</v>
      </c>
      <c r="J32" s="3" t="s">
        <v>352</v>
      </c>
      <c r="L32" s="3"/>
      <c r="M32" s="3"/>
      <c r="N32" s="3"/>
      <c r="O32" s="3"/>
      <c r="P32" s="3"/>
      <c r="Q32" s="3"/>
      <c r="R32" s="3"/>
      <c r="S32" s="3" t="s">
        <v>15</v>
      </c>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row>
    <row r="33" spans="1:62" x14ac:dyDescent="0.25">
      <c r="A33">
        <v>27</v>
      </c>
      <c r="B33" s="3" t="s">
        <v>350</v>
      </c>
      <c r="C33" s="64" t="s">
        <v>142</v>
      </c>
      <c r="D33" s="3" t="s">
        <v>359</v>
      </c>
      <c r="E33" s="64" t="s">
        <v>253</v>
      </c>
      <c r="F33" s="64">
        <v>133.495</v>
      </c>
      <c r="G33" s="64">
        <v>4.5999999999999996</v>
      </c>
      <c r="H33" s="64">
        <v>138.995</v>
      </c>
      <c r="I33" s="64">
        <v>4.5999999999999996</v>
      </c>
      <c r="J33" s="3" t="s">
        <v>352</v>
      </c>
      <c r="L33" s="3"/>
      <c r="M33" s="3"/>
      <c r="N33" s="3"/>
      <c r="O33" s="3"/>
      <c r="P33" s="3"/>
      <c r="Q33" s="3"/>
      <c r="R33" s="3"/>
      <c r="S33" s="3" t="s">
        <v>15</v>
      </c>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row>
    <row r="34" spans="1:62" x14ac:dyDescent="0.25">
      <c r="A34">
        <v>28</v>
      </c>
      <c r="B34" s="3" t="s">
        <v>248</v>
      </c>
      <c r="C34" s="3" t="s">
        <v>360</v>
      </c>
      <c r="D34" s="3" t="s">
        <v>361</v>
      </c>
      <c r="E34" s="3" t="s">
        <v>249</v>
      </c>
      <c r="F34" s="3">
        <v>103.995</v>
      </c>
      <c r="G34" s="3">
        <v>12.1</v>
      </c>
      <c r="H34" s="3">
        <v>103.995</v>
      </c>
      <c r="I34" s="3">
        <v>8.9</v>
      </c>
      <c r="J34" s="3"/>
      <c r="L34" s="3"/>
      <c r="M34" s="3"/>
      <c r="N34" s="3"/>
      <c r="O34" s="3"/>
      <c r="P34" s="3"/>
      <c r="Q34" s="3"/>
      <c r="R34" s="3"/>
      <c r="S34" s="3"/>
      <c r="T34" s="3"/>
      <c r="U34" s="3" t="s">
        <v>15</v>
      </c>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row>
    <row r="35" spans="1:62" x14ac:dyDescent="0.25">
      <c r="A35">
        <v>29</v>
      </c>
      <c r="B35" s="3" t="s">
        <v>250</v>
      </c>
      <c r="C35" s="3" t="s">
        <v>360</v>
      </c>
      <c r="D35" s="3" t="s">
        <v>362</v>
      </c>
      <c r="E35" s="3" t="s">
        <v>249</v>
      </c>
      <c r="F35" s="3">
        <v>75.179000000000002</v>
      </c>
      <c r="G35" s="3">
        <v>12.1</v>
      </c>
      <c r="H35" s="3">
        <v>75.179000000000002</v>
      </c>
      <c r="I35" s="3">
        <v>8.9</v>
      </c>
      <c r="J35" s="3"/>
      <c r="L35" s="3"/>
      <c r="M35" s="3"/>
      <c r="N35" s="3"/>
      <c r="O35" s="3"/>
      <c r="P35" s="3"/>
      <c r="Q35" s="3"/>
      <c r="R35" s="3"/>
      <c r="S35" s="3"/>
      <c r="T35" s="3"/>
      <c r="U35" s="3" t="s">
        <v>15</v>
      </c>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row>
    <row r="36" spans="1:62" x14ac:dyDescent="0.25">
      <c r="A36">
        <v>30</v>
      </c>
      <c r="B36" s="3" t="s">
        <v>251</v>
      </c>
      <c r="C36" s="3" t="s">
        <v>360</v>
      </c>
      <c r="D36" s="3" t="s">
        <v>363</v>
      </c>
      <c r="E36" s="3" t="s">
        <v>249</v>
      </c>
      <c r="F36" s="3">
        <v>132.495</v>
      </c>
      <c r="G36" s="3">
        <v>12.1</v>
      </c>
      <c r="H36" s="3">
        <v>132.495</v>
      </c>
      <c r="I36" s="3">
        <v>6.1150000000000002</v>
      </c>
      <c r="J36" s="3"/>
      <c r="L36" s="3"/>
      <c r="M36" s="3"/>
      <c r="N36" s="3"/>
      <c r="O36" s="3"/>
      <c r="P36" s="3"/>
      <c r="Q36" s="3"/>
      <c r="R36" s="3"/>
      <c r="S36" s="3"/>
      <c r="T36" s="3"/>
      <c r="U36" s="3" t="s">
        <v>15</v>
      </c>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row>
    <row r="37" spans="1:62" x14ac:dyDescent="0.25">
      <c r="A37">
        <v>31</v>
      </c>
      <c r="B37" s="3" t="s">
        <v>364</v>
      </c>
      <c r="C37" s="3" t="s">
        <v>360</v>
      </c>
      <c r="D37" s="3" t="s">
        <v>365</v>
      </c>
      <c r="E37" s="3" t="s">
        <v>249</v>
      </c>
      <c r="F37" s="3">
        <v>156.43299999999999</v>
      </c>
      <c r="G37" s="3">
        <v>8.9</v>
      </c>
      <c r="H37" s="3">
        <v>170</v>
      </c>
      <c r="I37" s="3">
        <v>5</v>
      </c>
      <c r="J37" s="3"/>
      <c r="L37" s="3" t="s">
        <v>15</v>
      </c>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row>
    <row r="38" spans="1:62" x14ac:dyDescent="0.25">
      <c r="A38">
        <v>32</v>
      </c>
      <c r="B38" s="3" t="s">
        <v>234</v>
      </c>
      <c r="C38" s="3" t="s">
        <v>360</v>
      </c>
      <c r="D38" s="3" t="s">
        <v>366</v>
      </c>
      <c r="E38" s="3" t="s">
        <v>235</v>
      </c>
      <c r="F38" s="3">
        <v>102.995</v>
      </c>
      <c r="G38" s="3">
        <v>5.4</v>
      </c>
      <c r="H38" s="3">
        <v>93.376999999999995</v>
      </c>
      <c r="I38" s="3">
        <v>8.9</v>
      </c>
      <c r="J38" s="3"/>
      <c r="L38" s="3"/>
      <c r="M38" s="3" t="s">
        <v>367</v>
      </c>
      <c r="N38" s="3"/>
      <c r="O38" s="3"/>
      <c r="P38" s="3"/>
      <c r="Q38" s="3"/>
      <c r="R38" s="3"/>
      <c r="S38" s="3"/>
      <c r="T38" s="3" t="s">
        <v>15</v>
      </c>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row>
    <row r="39" spans="1:62" x14ac:dyDescent="0.25">
      <c r="A39">
        <v>33</v>
      </c>
      <c r="B39" s="3" t="s">
        <v>244</v>
      </c>
      <c r="C39" s="3" t="s">
        <v>360</v>
      </c>
      <c r="D39" s="3" t="s">
        <v>368</v>
      </c>
      <c r="E39" s="3" t="s">
        <v>235</v>
      </c>
      <c r="F39" s="3">
        <v>128.495</v>
      </c>
      <c r="G39" s="3">
        <v>5.4</v>
      </c>
      <c r="H39" s="3">
        <v>130.27799999999999</v>
      </c>
      <c r="I39" s="3">
        <v>3.9940000000000002</v>
      </c>
      <c r="J39" s="3"/>
      <c r="L39" s="3"/>
      <c r="M39" s="3"/>
      <c r="N39" s="3"/>
      <c r="O39" s="3"/>
      <c r="P39" s="3"/>
      <c r="Q39" s="3"/>
      <c r="R39" s="3"/>
      <c r="S39" s="3"/>
      <c r="T39" s="3"/>
      <c r="U39" s="3"/>
      <c r="V39" s="3"/>
      <c r="W39" s="3"/>
      <c r="X39" s="3"/>
      <c r="Y39" s="3" t="s">
        <v>367</v>
      </c>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row>
    <row r="40" spans="1:62" x14ac:dyDescent="0.25">
      <c r="A40">
        <v>34</v>
      </c>
      <c r="B40" s="3" t="s">
        <v>245</v>
      </c>
      <c r="C40" s="3" t="s">
        <v>360</v>
      </c>
      <c r="D40" s="3" t="s">
        <v>369</v>
      </c>
      <c r="E40" s="3" t="s">
        <v>235</v>
      </c>
      <c r="F40" s="3">
        <v>133.495</v>
      </c>
      <c r="G40" s="3">
        <v>4.5999999999999996</v>
      </c>
      <c r="H40" s="3">
        <v>132.77799999999999</v>
      </c>
      <c r="I40" s="3">
        <v>3.9940000000000002</v>
      </c>
      <c r="J40" s="3"/>
      <c r="L40" s="3"/>
      <c r="M40" s="3"/>
      <c r="N40" s="3"/>
      <c r="O40" s="3"/>
      <c r="P40" s="3"/>
      <c r="Q40" s="3"/>
      <c r="R40" s="3"/>
      <c r="S40" s="3" t="s">
        <v>15</v>
      </c>
      <c r="T40" s="3"/>
      <c r="U40" s="3"/>
      <c r="V40" s="3" t="s">
        <v>367</v>
      </c>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row>
    <row r="41" spans="1:62" x14ac:dyDescent="0.25">
      <c r="A41">
        <v>35</v>
      </c>
      <c r="B41" s="3" t="s">
        <v>246</v>
      </c>
      <c r="C41" s="3" t="s">
        <v>360</v>
      </c>
      <c r="D41" s="3" t="s">
        <v>370</v>
      </c>
      <c r="E41" s="3" t="s">
        <v>235</v>
      </c>
      <c r="F41" s="3">
        <v>170</v>
      </c>
      <c r="G41" s="3">
        <v>5</v>
      </c>
      <c r="H41" s="3">
        <v>240</v>
      </c>
      <c r="I41" s="3">
        <v>5</v>
      </c>
      <c r="J41" s="3"/>
      <c r="L41" s="3" t="s">
        <v>367</v>
      </c>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row>
    <row r="42" spans="1:62" x14ac:dyDescent="0.25">
      <c r="A42">
        <v>36</v>
      </c>
      <c r="B42" s="3" t="s">
        <v>247</v>
      </c>
      <c r="C42" s="3" t="s">
        <v>360</v>
      </c>
      <c r="D42" s="3" t="s">
        <v>371</v>
      </c>
      <c r="E42" s="3" t="s">
        <v>235</v>
      </c>
      <c r="F42" s="3">
        <v>170</v>
      </c>
      <c r="G42" s="3">
        <v>5</v>
      </c>
      <c r="H42" s="3">
        <v>138.995</v>
      </c>
      <c r="I42" s="3">
        <v>5</v>
      </c>
      <c r="J42" s="3"/>
      <c r="L42" s="3"/>
      <c r="M42" s="3"/>
      <c r="N42" s="3"/>
      <c r="O42" s="3"/>
      <c r="P42" s="3"/>
      <c r="Q42" s="3"/>
      <c r="R42" s="3"/>
      <c r="S42" s="3"/>
      <c r="T42" s="3"/>
      <c r="U42" s="3"/>
      <c r="V42" s="3"/>
      <c r="W42" s="3"/>
      <c r="X42" s="3" t="s">
        <v>367</v>
      </c>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row>
    <row r="43" spans="1:62" x14ac:dyDescent="0.25">
      <c r="A43">
        <v>37</v>
      </c>
      <c r="B43" s="3" t="s">
        <v>372</v>
      </c>
      <c r="C43" s="3" t="s">
        <v>360</v>
      </c>
      <c r="D43" s="3" t="s">
        <v>373</v>
      </c>
      <c r="E43" s="3" t="s">
        <v>235</v>
      </c>
      <c r="F43" s="3">
        <v>131.52799999999999</v>
      </c>
      <c r="G43" s="3">
        <v>-2.9529999999999998</v>
      </c>
      <c r="H43" s="3">
        <v>131.52799999999999</v>
      </c>
      <c r="I43" s="3">
        <v>-13.909000000000001</v>
      </c>
      <c r="J43" s="3"/>
      <c r="L43" s="3"/>
      <c r="M43" s="3"/>
      <c r="N43" s="3"/>
      <c r="O43" s="3"/>
      <c r="P43" s="3"/>
      <c r="Q43" s="3"/>
      <c r="R43" s="3"/>
      <c r="S43" s="3"/>
      <c r="T43" s="3"/>
      <c r="U43" s="3"/>
      <c r="V43" s="3"/>
      <c r="W43" s="3" t="s">
        <v>367</v>
      </c>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row>
    <row r="44" spans="1:62" x14ac:dyDescent="0.25">
      <c r="A44">
        <v>38</v>
      </c>
      <c r="B44" s="3" t="s">
        <v>374</v>
      </c>
      <c r="C44" s="3" t="s">
        <v>170</v>
      </c>
      <c r="D44" s="3" t="s">
        <v>347</v>
      </c>
      <c r="E44" s="3" t="s">
        <v>170</v>
      </c>
      <c r="F44" s="3">
        <v>77.679000000000002</v>
      </c>
      <c r="G44" s="3">
        <v>12.1</v>
      </c>
      <c r="H44" s="3">
        <v>77.679000000000002</v>
      </c>
      <c r="I44" s="3">
        <v>8.9</v>
      </c>
      <c r="J44" s="3"/>
      <c r="L44" s="3"/>
      <c r="M44" s="3"/>
      <c r="N44" s="3"/>
      <c r="O44" s="3"/>
      <c r="P44" s="3"/>
      <c r="Q44" s="3"/>
      <c r="R44" s="3"/>
      <c r="S44" s="3" t="s">
        <v>15</v>
      </c>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row>
    <row r="45" spans="1:62" x14ac:dyDescent="0.25">
      <c r="A45">
        <v>39</v>
      </c>
      <c r="B45" s="3"/>
      <c r="C45" s="3" t="s">
        <v>170</v>
      </c>
      <c r="D45" s="3" t="s">
        <v>375</v>
      </c>
      <c r="E45" s="3" t="s">
        <v>170</v>
      </c>
      <c r="F45" s="3">
        <v>137.495</v>
      </c>
      <c r="G45" s="3">
        <v>11.1</v>
      </c>
      <c r="H45" s="3">
        <v>137.495</v>
      </c>
      <c r="I45" s="3">
        <v>6.1</v>
      </c>
      <c r="J45" s="3"/>
      <c r="L45" s="3"/>
      <c r="M45" s="3"/>
      <c r="N45" s="3"/>
      <c r="O45" s="3"/>
      <c r="P45" s="3"/>
      <c r="Q45" s="3"/>
      <c r="R45" s="3"/>
      <c r="S45" s="3"/>
      <c r="T45" s="3" t="s">
        <v>367</v>
      </c>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row>
    <row r="46" spans="1:62" x14ac:dyDescent="0.25">
      <c r="A46">
        <v>40</v>
      </c>
      <c r="B46" s="3" t="s">
        <v>374</v>
      </c>
      <c r="C46" s="3" t="s">
        <v>170</v>
      </c>
      <c r="D46" s="3" t="s">
        <v>352</v>
      </c>
      <c r="E46" s="3" t="s">
        <v>170</v>
      </c>
      <c r="F46" s="3">
        <v>138.995</v>
      </c>
      <c r="G46" s="3">
        <v>4.5999999999999996</v>
      </c>
      <c r="H46" s="3">
        <v>133.495</v>
      </c>
      <c r="I46" s="3">
        <v>4.5999999999999996</v>
      </c>
      <c r="J46" s="3"/>
      <c r="L46" s="3"/>
      <c r="M46" s="3"/>
      <c r="N46" s="3"/>
      <c r="O46" s="3"/>
      <c r="P46" s="3"/>
      <c r="Q46" s="3"/>
      <c r="R46" s="3"/>
      <c r="S46" s="3" t="s">
        <v>15</v>
      </c>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row>
    <row r="47" spans="1:62" x14ac:dyDescent="0.25">
      <c r="A47">
        <v>41</v>
      </c>
      <c r="B47" s="3" t="s">
        <v>376</v>
      </c>
      <c r="C47" s="3" t="s">
        <v>124</v>
      </c>
      <c r="D47" s="3" t="s">
        <v>123</v>
      </c>
      <c r="E47" s="3" t="s">
        <v>122</v>
      </c>
      <c r="F47" s="3">
        <v>90.837000000000003</v>
      </c>
      <c r="G47" s="3">
        <v>12.1</v>
      </c>
      <c r="H47" s="3">
        <v>0</v>
      </c>
      <c r="I47" s="3">
        <v>12.1</v>
      </c>
      <c r="J47" s="3"/>
      <c r="L47" s="3"/>
      <c r="M47" s="3"/>
      <c r="N47" s="3"/>
      <c r="O47" s="3"/>
      <c r="P47" s="3"/>
      <c r="Q47" s="3"/>
      <c r="R47" s="3"/>
      <c r="S47" s="3"/>
      <c r="T47" s="3"/>
      <c r="U47" s="3"/>
      <c r="V47" s="3"/>
      <c r="W47" s="3"/>
      <c r="X47" s="3"/>
      <c r="Y47" s="3"/>
      <c r="Z47" s="3" t="s">
        <v>15</v>
      </c>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row>
    <row r="48" spans="1:62" x14ac:dyDescent="0.25">
      <c r="A48">
        <v>42</v>
      </c>
      <c r="B48" s="3" t="s">
        <v>377</v>
      </c>
      <c r="C48" s="3" t="s">
        <v>124</v>
      </c>
      <c r="D48" s="3" t="s">
        <v>126</v>
      </c>
      <c r="E48" s="3" t="s">
        <v>125</v>
      </c>
      <c r="F48" s="3">
        <v>138.995</v>
      </c>
      <c r="G48" s="3">
        <v>11.1</v>
      </c>
      <c r="H48" s="3">
        <v>138.995</v>
      </c>
      <c r="I48" s="3">
        <v>6.1</v>
      </c>
      <c r="J48" s="3"/>
      <c r="L48" s="3"/>
      <c r="M48" s="3"/>
      <c r="N48" s="3"/>
      <c r="O48" s="3"/>
      <c r="P48" s="3"/>
      <c r="Q48" s="3"/>
      <c r="R48" s="3"/>
      <c r="S48" s="3"/>
      <c r="T48" s="3"/>
      <c r="U48" s="3"/>
      <c r="V48" s="3"/>
      <c r="W48" s="3"/>
      <c r="X48" s="3"/>
      <c r="Y48" s="3"/>
      <c r="Z48" s="3"/>
      <c r="AA48" s="3"/>
      <c r="AB48" s="3" t="s">
        <v>15</v>
      </c>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row>
    <row r="49" spans="1:62" x14ac:dyDescent="0.25">
      <c r="A49">
        <v>43</v>
      </c>
      <c r="B49" s="3" t="s">
        <v>378</v>
      </c>
      <c r="C49" s="3" t="s">
        <v>129</v>
      </c>
      <c r="D49" s="3" t="s">
        <v>128</v>
      </c>
      <c r="E49" s="3" t="s">
        <v>127</v>
      </c>
      <c r="F49" s="3">
        <v>104.745</v>
      </c>
      <c r="G49" s="3">
        <v>12.106999999999999</v>
      </c>
      <c r="H49" s="3">
        <v>0</v>
      </c>
      <c r="I49" s="3">
        <v>0</v>
      </c>
      <c r="J49" s="3"/>
      <c r="L49" s="3"/>
      <c r="M49" s="3"/>
      <c r="N49" s="3"/>
      <c r="O49" s="3"/>
      <c r="P49" s="3"/>
      <c r="Q49" s="3"/>
      <c r="R49" s="3"/>
      <c r="S49" s="3"/>
      <c r="T49" s="3"/>
      <c r="U49" s="3"/>
      <c r="V49" s="3"/>
      <c r="W49" s="3"/>
      <c r="X49" s="3"/>
      <c r="Y49" s="3"/>
      <c r="Z49" s="3" t="s">
        <v>15</v>
      </c>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row>
    <row r="50" spans="1:62" x14ac:dyDescent="0.25">
      <c r="A50">
        <v>44</v>
      </c>
      <c r="B50" s="3" t="s">
        <v>379</v>
      </c>
      <c r="C50" s="3" t="s">
        <v>129</v>
      </c>
      <c r="D50" s="3" t="s">
        <v>130</v>
      </c>
      <c r="E50" s="3" t="s">
        <v>127</v>
      </c>
      <c r="F50" s="3">
        <v>134.81299999999999</v>
      </c>
      <c r="G50" s="3">
        <v>12.1</v>
      </c>
      <c r="H50" s="3">
        <v>0</v>
      </c>
      <c r="I50" s="3">
        <v>0</v>
      </c>
      <c r="J50" s="3"/>
      <c r="L50" s="3"/>
      <c r="M50" s="3"/>
      <c r="N50" s="3"/>
      <c r="O50" s="3"/>
      <c r="P50" s="3"/>
      <c r="Q50" s="3"/>
      <c r="R50" s="3"/>
      <c r="S50" s="3"/>
      <c r="T50" s="3"/>
      <c r="U50" s="3"/>
      <c r="V50" s="3"/>
      <c r="W50" s="3"/>
      <c r="X50" s="3"/>
      <c r="Y50" s="3"/>
      <c r="Z50" s="3" t="s">
        <v>15</v>
      </c>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row>
    <row r="51" spans="1:62" x14ac:dyDescent="0.25">
      <c r="A51">
        <v>45</v>
      </c>
      <c r="B51" s="3" t="s">
        <v>380</v>
      </c>
      <c r="C51" s="3" t="s">
        <v>129</v>
      </c>
      <c r="D51" s="3" t="s">
        <v>132</v>
      </c>
      <c r="E51" s="3" t="s">
        <v>131</v>
      </c>
      <c r="F51" s="3">
        <v>76.429000000000002</v>
      </c>
      <c r="G51" s="3">
        <v>12.1</v>
      </c>
      <c r="H51" s="3">
        <v>0</v>
      </c>
      <c r="I51" s="3">
        <v>0</v>
      </c>
      <c r="J51" s="3"/>
      <c r="L51" s="3"/>
      <c r="M51" s="3"/>
      <c r="N51" s="3"/>
      <c r="O51" s="3"/>
      <c r="P51" s="3"/>
      <c r="Q51" s="3"/>
      <c r="R51" s="3"/>
      <c r="S51" s="3"/>
      <c r="T51" s="3"/>
      <c r="U51" s="3"/>
      <c r="V51" s="3"/>
      <c r="W51" s="3"/>
      <c r="X51" s="3"/>
      <c r="Y51" s="3"/>
      <c r="Z51" s="3" t="s">
        <v>15</v>
      </c>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row>
    <row r="52" spans="1:62" x14ac:dyDescent="0.25">
      <c r="A52">
        <v>46</v>
      </c>
      <c r="B52" s="3" t="s">
        <v>381</v>
      </c>
      <c r="C52" s="3" t="s">
        <v>382</v>
      </c>
      <c r="D52" s="3" t="s">
        <v>381</v>
      </c>
      <c r="E52" s="3"/>
      <c r="F52" s="3"/>
      <c r="G52" s="3"/>
      <c r="H52" s="3"/>
      <c r="I52" s="3"/>
      <c r="J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row>
    <row r="53" spans="1:62" x14ac:dyDescent="0.25">
      <c r="A53">
        <v>47</v>
      </c>
      <c r="B53" s="3" t="s">
        <v>383</v>
      </c>
      <c r="C53" s="3" t="s">
        <v>382</v>
      </c>
      <c r="D53" s="3" t="s">
        <v>383</v>
      </c>
      <c r="E53" s="3"/>
      <c r="F53" s="3"/>
      <c r="G53" s="3"/>
      <c r="H53" s="3"/>
      <c r="I53" s="3"/>
      <c r="J53" s="3"/>
      <c r="L53" s="3"/>
      <c r="M53" s="3"/>
      <c r="N53" s="3"/>
      <c r="O53" s="3"/>
      <c r="P53" s="3"/>
      <c r="Q53" s="3"/>
      <c r="R53" s="3"/>
      <c r="S53" s="3"/>
      <c r="T53" s="3"/>
      <c r="U53" s="3"/>
      <c r="V53" s="3"/>
      <c r="W53" s="3"/>
      <c r="X53" s="3"/>
      <c r="Y53" s="3"/>
      <c r="Z53" s="3"/>
      <c r="AA53" s="3" t="s">
        <v>384</v>
      </c>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row>
    <row r="54" spans="1:62" x14ac:dyDescent="0.25">
      <c r="A54">
        <v>48</v>
      </c>
      <c r="B54" s="3" t="s">
        <v>385</v>
      </c>
      <c r="C54" s="3" t="s">
        <v>386</v>
      </c>
      <c r="D54" s="3" t="s">
        <v>387</v>
      </c>
      <c r="E54" s="3" t="s">
        <v>239</v>
      </c>
      <c r="F54" s="3">
        <v>0</v>
      </c>
      <c r="G54" s="3">
        <v>10</v>
      </c>
      <c r="H54" s="3">
        <v>103.995</v>
      </c>
      <c r="I54" s="3">
        <v>10</v>
      </c>
      <c r="J54" s="3"/>
      <c r="L54" s="3"/>
      <c r="M54" s="3"/>
      <c r="N54" s="3"/>
      <c r="O54" s="3"/>
      <c r="P54" s="3"/>
      <c r="Q54" s="3"/>
      <c r="R54" s="3"/>
      <c r="S54" s="3"/>
      <c r="T54" s="3"/>
      <c r="U54" s="3"/>
      <c r="V54" s="3"/>
      <c r="W54" s="3"/>
      <c r="X54" s="3"/>
      <c r="Y54" s="3"/>
      <c r="Z54" s="3"/>
      <c r="AA54" s="3" t="s">
        <v>15</v>
      </c>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row>
    <row r="55" spans="1:62" x14ac:dyDescent="0.25">
      <c r="A55">
        <v>49</v>
      </c>
      <c r="B55" s="3" t="s">
        <v>388</v>
      </c>
      <c r="C55" s="3" t="s">
        <v>386</v>
      </c>
      <c r="D55" s="3" t="s">
        <v>389</v>
      </c>
      <c r="E55" s="3" t="s">
        <v>241</v>
      </c>
      <c r="F55" s="3">
        <v>0</v>
      </c>
      <c r="G55" s="3">
        <v>-85</v>
      </c>
      <c r="H55" s="3">
        <v>0</v>
      </c>
      <c r="I55" s="3">
        <v>12.1</v>
      </c>
      <c r="J55" s="3"/>
      <c r="L55" s="3"/>
      <c r="M55" s="3"/>
      <c r="N55" s="3"/>
      <c r="O55" s="3"/>
      <c r="P55" s="3"/>
      <c r="Q55" s="3"/>
      <c r="R55" s="3"/>
      <c r="S55" s="3"/>
      <c r="T55" s="3"/>
      <c r="U55" s="3"/>
      <c r="V55" s="3"/>
      <c r="W55" s="3"/>
      <c r="X55" s="3"/>
      <c r="Y55" s="3"/>
      <c r="Z55" s="3"/>
      <c r="AA55" s="3" t="s">
        <v>15</v>
      </c>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row>
    <row r="56" spans="1:62" x14ac:dyDescent="0.25">
      <c r="A56">
        <v>50</v>
      </c>
      <c r="B56" s="3" t="s">
        <v>390</v>
      </c>
      <c r="C56" s="3" t="s">
        <v>386</v>
      </c>
      <c r="D56" s="3" t="s">
        <v>391</v>
      </c>
      <c r="E56" s="3" t="s">
        <v>241</v>
      </c>
      <c r="F56" s="3">
        <v>240</v>
      </c>
      <c r="G56" s="3">
        <v>-85</v>
      </c>
      <c r="H56" s="3">
        <v>240</v>
      </c>
      <c r="I56" s="3">
        <v>5</v>
      </c>
      <c r="J56" s="3"/>
      <c r="L56" s="3"/>
      <c r="M56" s="3"/>
      <c r="N56" s="3"/>
      <c r="O56" s="3"/>
      <c r="P56" s="3"/>
      <c r="Q56" s="3"/>
      <c r="R56" s="3"/>
      <c r="S56" s="3"/>
      <c r="T56" s="3"/>
      <c r="U56" s="3"/>
      <c r="V56" s="3"/>
      <c r="W56" s="3"/>
      <c r="X56" s="3"/>
      <c r="Y56" s="3"/>
      <c r="Z56" s="3"/>
      <c r="AA56" s="3" t="s">
        <v>15</v>
      </c>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row>
    <row r="57" spans="1:62" x14ac:dyDescent="0.25">
      <c r="A57">
        <v>51</v>
      </c>
      <c r="B57" s="3" t="s">
        <v>392</v>
      </c>
      <c r="C57" s="3" t="s">
        <v>386</v>
      </c>
      <c r="D57" s="3" t="s">
        <v>393</v>
      </c>
      <c r="E57" s="3" t="s">
        <v>241</v>
      </c>
      <c r="F57" s="3">
        <v>0</v>
      </c>
      <c r="G57" s="3">
        <v>-85</v>
      </c>
      <c r="H57" s="3">
        <v>240</v>
      </c>
      <c r="I57" s="3">
        <v>-85</v>
      </c>
      <c r="J57" s="3"/>
      <c r="L57" s="3"/>
      <c r="M57" s="3"/>
      <c r="N57" s="3"/>
      <c r="O57" s="3"/>
      <c r="P57" s="3"/>
      <c r="Q57" s="3"/>
      <c r="R57" s="3"/>
      <c r="S57" s="3"/>
      <c r="T57" s="3"/>
      <c r="U57" s="3"/>
      <c r="V57" s="3"/>
      <c r="W57" s="3"/>
      <c r="X57" s="3"/>
      <c r="Y57" s="3"/>
      <c r="Z57" s="3"/>
      <c r="AA57" s="3" t="s">
        <v>15</v>
      </c>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row>
    <row r="58" spans="1:62" x14ac:dyDescent="0.25">
      <c r="A58">
        <v>52</v>
      </c>
      <c r="E58" s="3"/>
      <c r="F58" s="3"/>
      <c r="G58" s="3"/>
      <c r="H58" s="3"/>
      <c r="I58" s="3"/>
      <c r="J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row>
    <row r="59" spans="1:62" x14ac:dyDescent="0.25">
      <c r="A59">
        <v>53</v>
      </c>
      <c r="B59" s="3"/>
      <c r="C59" s="3"/>
      <c r="D59" s="3"/>
      <c r="E59" s="3"/>
      <c r="F59" s="3"/>
      <c r="G59" s="3"/>
      <c r="H59" s="3"/>
      <c r="I59" s="3"/>
      <c r="J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row>
    <row r="60" spans="1:62" x14ac:dyDescent="0.25">
      <c r="A60">
        <v>54</v>
      </c>
      <c r="B60" s="3"/>
      <c r="C60" s="3"/>
      <c r="D60" s="3"/>
      <c r="E60" s="3"/>
      <c r="F60" s="3"/>
      <c r="G60" s="3"/>
      <c r="H60" s="3"/>
      <c r="I60" s="3"/>
      <c r="J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row>
    <row r="61" spans="1:62" x14ac:dyDescent="0.25">
      <c r="A61">
        <v>55</v>
      </c>
      <c r="B61" s="3"/>
      <c r="C61" s="3"/>
      <c r="D61" s="3"/>
      <c r="E61" s="3"/>
      <c r="F61" s="3"/>
      <c r="G61" s="3"/>
      <c r="H61" s="3"/>
      <c r="I61" s="3"/>
      <c r="J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row>
    <row r="62" spans="1:62" x14ac:dyDescent="0.25">
      <c r="A62">
        <v>56</v>
      </c>
      <c r="B62" s="3"/>
      <c r="C62" s="3"/>
      <c r="D62" s="3"/>
      <c r="E62" s="3"/>
      <c r="F62" s="3"/>
      <c r="G62" s="3"/>
      <c r="H62" s="3"/>
      <c r="I62" s="3"/>
      <c r="J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row>
    <row r="63" spans="1:62" x14ac:dyDescent="0.25">
      <c r="A63">
        <v>57</v>
      </c>
      <c r="B63" s="3"/>
      <c r="C63" s="3"/>
      <c r="D63" s="3"/>
      <c r="E63" s="3"/>
      <c r="F63" s="3"/>
      <c r="G63" s="3"/>
      <c r="H63" s="3"/>
      <c r="I63" s="3"/>
      <c r="J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row>
    <row r="64" spans="1:62" x14ac:dyDescent="0.25">
      <c r="A64">
        <v>58</v>
      </c>
      <c r="B64" s="3"/>
      <c r="C64" s="3"/>
      <c r="D64" s="3"/>
      <c r="E64" s="3"/>
      <c r="F64" s="3"/>
      <c r="G64" s="3"/>
      <c r="H64" s="3"/>
      <c r="I64" s="3"/>
      <c r="J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row>
    <row r="65" spans="1:62" x14ac:dyDescent="0.25">
      <c r="A65">
        <v>59</v>
      </c>
      <c r="B65" s="3"/>
      <c r="C65" s="3"/>
      <c r="D65" s="3"/>
      <c r="E65" s="3"/>
      <c r="F65" s="3"/>
      <c r="G65" s="3"/>
      <c r="H65" s="3"/>
      <c r="I65" s="3"/>
      <c r="J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row>
    <row r="66" spans="1:62" x14ac:dyDescent="0.25">
      <c r="A66">
        <v>60</v>
      </c>
      <c r="B66" s="3"/>
      <c r="C66" s="3"/>
      <c r="D66" s="3"/>
      <c r="E66" s="3"/>
      <c r="F66" s="3"/>
      <c r="G66" s="3"/>
      <c r="H66" s="3"/>
      <c r="I66" s="3"/>
      <c r="J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row>
    <row r="67" spans="1:62" x14ac:dyDescent="0.25">
      <c r="A67">
        <v>61</v>
      </c>
      <c r="B67" s="3"/>
      <c r="C67" s="64"/>
      <c r="D67" s="3"/>
      <c r="E67" s="64"/>
      <c r="F67" s="64"/>
      <c r="G67" s="64"/>
      <c r="H67" s="64"/>
      <c r="I67" s="64"/>
      <c r="J67" s="3"/>
      <c r="L67" s="3"/>
      <c r="M67" s="3"/>
      <c r="N67" s="3"/>
      <c r="O67" s="3"/>
      <c r="P67" s="3"/>
      <c r="Q67" s="3"/>
      <c r="R67" s="3"/>
      <c r="S67" s="3"/>
      <c r="T67" s="3"/>
      <c r="U67" s="3"/>
      <c r="V67" s="3"/>
      <c r="W67" s="3"/>
      <c r="X67" s="3"/>
      <c r="Y67" s="3"/>
      <c r="Z67" s="3"/>
      <c r="AA67" s="3"/>
      <c r="AB67" s="3"/>
      <c r="AC67" s="3"/>
      <c r="AD67" s="3"/>
      <c r="AE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row>
    <row r="68" spans="1:62" x14ac:dyDescent="0.25">
      <c r="A68">
        <v>62</v>
      </c>
      <c r="B68" s="3"/>
      <c r="C68" s="64"/>
      <c r="D68" s="3"/>
      <c r="E68" s="64"/>
      <c r="F68" s="64"/>
      <c r="G68" s="64"/>
      <c r="H68" s="64"/>
      <c r="I68" s="64"/>
      <c r="J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row>
    <row r="69" spans="1:62" s="68" customFormat="1" x14ac:dyDescent="0.25">
      <c r="A69">
        <v>63</v>
      </c>
      <c r="B69" s="3"/>
      <c r="C69" s="64"/>
      <c r="D69" s="3"/>
      <c r="E69" s="64"/>
      <c r="F69" s="64"/>
      <c r="G69" s="64"/>
      <c r="H69" s="64"/>
      <c r="I69" s="64"/>
      <c r="J69" s="3"/>
      <c r="K69" s="55"/>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row>
    <row r="70" spans="1:62" s="68" customFormat="1" x14ac:dyDescent="0.25">
      <c r="A70">
        <v>64</v>
      </c>
      <c r="B70" s="3"/>
      <c r="C70" s="64"/>
      <c r="D70" s="3"/>
      <c r="E70" s="64"/>
      <c r="F70" s="64"/>
      <c r="G70" s="64"/>
      <c r="H70" s="64"/>
      <c r="I70" s="64"/>
      <c r="J70" s="3"/>
      <c r="K70" s="55"/>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row>
    <row r="71" spans="1:62" s="68" customFormat="1" x14ac:dyDescent="0.25">
      <c r="A71">
        <v>65</v>
      </c>
      <c r="B71" s="3"/>
      <c r="C71" s="64"/>
      <c r="D71" s="3"/>
      <c r="E71" s="64"/>
      <c r="F71" s="64"/>
      <c r="G71" s="64"/>
      <c r="H71" s="64"/>
      <c r="I71" s="64"/>
      <c r="J71" s="3"/>
      <c r="K71" s="55"/>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row>
    <row r="72" spans="1:62" x14ac:dyDescent="0.25">
      <c r="A72">
        <v>66</v>
      </c>
      <c r="B72" s="3"/>
      <c r="C72" s="64"/>
      <c r="D72" s="3"/>
      <c r="E72" s="64"/>
      <c r="F72" s="64"/>
      <c r="G72" s="64"/>
      <c r="H72" s="64"/>
      <c r="I72" s="64"/>
      <c r="J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row>
    <row r="73" spans="1:62" x14ac:dyDescent="0.25">
      <c r="A73">
        <v>67</v>
      </c>
      <c r="B73" s="3"/>
      <c r="C73" s="64"/>
      <c r="D73" s="3"/>
      <c r="E73" s="64"/>
      <c r="F73" s="64"/>
      <c r="G73" s="64"/>
      <c r="H73" s="64"/>
      <c r="I73" s="64"/>
      <c r="J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row>
    <row r="74" spans="1:62" x14ac:dyDescent="0.25">
      <c r="A74">
        <v>68</v>
      </c>
      <c r="B74" s="3"/>
      <c r="C74" s="64"/>
      <c r="D74" s="3"/>
      <c r="E74" s="64"/>
      <c r="F74" s="64"/>
      <c r="G74" s="64"/>
      <c r="H74" s="64"/>
      <c r="I74" s="64"/>
      <c r="J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row>
    <row r="75" spans="1:62" x14ac:dyDescent="0.25">
      <c r="A75">
        <v>69</v>
      </c>
      <c r="B75" s="3"/>
      <c r="C75" s="64"/>
      <c r="D75" s="3"/>
      <c r="E75" s="64"/>
      <c r="F75" s="64"/>
      <c r="G75" s="64"/>
      <c r="H75" s="64"/>
      <c r="I75" s="64"/>
      <c r="J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row>
    <row r="76" spans="1:62" x14ac:dyDescent="0.25">
      <c r="A76">
        <v>70</v>
      </c>
      <c r="B76" s="3"/>
      <c r="C76" s="64"/>
      <c r="D76" s="3"/>
      <c r="E76" s="64"/>
      <c r="F76" s="64"/>
      <c r="G76" s="64"/>
      <c r="H76" s="64"/>
      <c r="I76" s="64"/>
      <c r="J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row>
    <row r="77" spans="1:62" x14ac:dyDescent="0.25">
      <c r="A77">
        <v>71</v>
      </c>
      <c r="B77" s="3"/>
      <c r="C77" s="64"/>
      <c r="D77" s="3"/>
      <c r="E77" s="64"/>
      <c r="F77" s="64"/>
      <c r="G77" s="64"/>
      <c r="H77" s="64"/>
      <c r="I77" s="64"/>
      <c r="J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row>
    <row r="78" spans="1:62" x14ac:dyDescent="0.25">
      <c r="A78">
        <v>72</v>
      </c>
      <c r="B78" s="3"/>
      <c r="C78" s="64"/>
      <c r="D78" s="3"/>
      <c r="E78" s="64"/>
      <c r="F78" s="64"/>
      <c r="G78" s="64"/>
      <c r="H78" s="64"/>
      <c r="I78" s="64"/>
      <c r="J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row>
    <row r="79" spans="1:62" x14ac:dyDescent="0.25">
      <c r="A79">
        <v>73</v>
      </c>
      <c r="B79" s="3"/>
      <c r="C79" s="64"/>
      <c r="D79" s="3"/>
      <c r="E79" s="64"/>
      <c r="F79" s="64"/>
      <c r="G79" s="64"/>
      <c r="H79" s="64"/>
      <c r="I79" s="64"/>
      <c r="J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row>
    <row r="80" spans="1:62" x14ac:dyDescent="0.25">
      <c r="A80">
        <v>74</v>
      </c>
      <c r="B80" s="3"/>
      <c r="C80" s="64"/>
      <c r="D80" s="3"/>
      <c r="E80" s="64"/>
      <c r="F80" s="64"/>
      <c r="G80" s="64"/>
      <c r="H80" s="64"/>
      <c r="I80" s="64"/>
      <c r="J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row>
    <row r="81" spans="1:62" x14ac:dyDescent="0.25">
      <c r="A81">
        <v>75</v>
      </c>
      <c r="B81" s="3"/>
      <c r="C81" s="64"/>
      <c r="D81" s="3"/>
      <c r="E81" s="64"/>
      <c r="F81" s="64"/>
      <c r="G81" s="64"/>
      <c r="H81" s="64"/>
      <c r="I81" s="64"/>
      <c r="J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row>
    <row r="82" spans="1:62" x14ac:dyDescent="0.25">
      <c r="A82">
        <v>76</v>
      </c>
      <c r="B82" s="3"/>
      <c r="C82" s="64"/>
      <c r="D82" s="3"/>
      <c r="E82" s="64"/>
      <c r="F82" s="64"/>
      <c r="G82" s="64"/>
      <c r="H82" s="64"/>
      <c r="I82" s="64"/>
      <c r="J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row>
    <row r="83" spans="1:62" x14ac:dyDescent="0.25">
      <c r="A83">
        <v>77</v>
      </c>
      <c r="B83" s="3"/>
      <c r="C83" s="64"/>
      <c r="D83" s="3"/>
      <c r="E83" s="64"/>
      <c r="F83" s="64"/>
      <c r="G83" s="64"/>
      <c r="H83" s="64"/>
      <c r="I83" s="64"/>
      <c r="J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row>
    <row r="84" spans="1:62" x14ac:dyDescent="0.25">
      <c r="A84">
        <v>78</v>
      </c>
      <c r="B84" s="3"/>
      <c r="C84" s="64"/>
      <c r="D84" s="3"/>
      <c r="E84" s="64"/>
      <c r="F84" s="64"/>
      <c r="G84" s="64"/>
      <c r="H84" s="64"/>
      <c r="I84" s="64"/>
      <c r="J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row>
    <row r="85" spans="1:62" x14ac:dyDescent="0.25">
      <c r="A85">
        <v>79</v>
      </c>
      <c r="B85" s="3"/>
      <c r="C85" s="64"/>
      <c r="D85" s="3"/>
      <c r="E85" s="64"/>
      <c r="F85" s="64"/>
      <c r="G85" s="64"/>
      <c r="H85" s="64"/>
      <c r="I85" s="64"/>
      <c r="J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row>
    <row r="86" spans="1:62" x14ac:dyDescent="0.25">
      <c r="A86">
        <v>80</v>
      </c>
      <c r="B86" s="3"/>
      <c r="C86" s="64"/>
      <c r="D86" s="3"/>
      <c r="E86" s="64"/>
      <c r="F86" s="64"/>
      <c r="G86" s="64"/>
      <c r="H86" s="64"/>
      <c r="I86" s="64"/>
      <c r="J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row>
    <row r="87" spans="1:62" x14ac:dyDescent="0.25">
      <c r="A87">
        <v>81</v>
      </c>
      <c r="B87" s="3"/>
      <c r="C87" s="64"/>
      <c r="D87" s="3"/>
      <c r="E87" s="64"/>
      <c r="F87" s="64"/>
      <c r="G87" s="64"/>
      <c r="H87" s="64"/>
      <c r="I87" s="64"/>
      <c r="J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row>
    <row r="88" spans="1:62" x14ac:dyDescent="0.25">
      <c r="A88">
        <v>82</v>
      </c>
      <c r="B88" s="41"/>
      <c r="C88" s="65"/>
      <c r="D88" s="41"/>
      <c r="E88" s="65"/>
      <c r="F88" s="65"/>
      <c r="G88" s="65"/>
      <c r="H88" s="65"/>
      <c r="I88" s="65"/>
      <c r="J88" s="41"/>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41"/>
      <c r="BD88" s="41"/>
      <c r="BE88" s="41"/>
      <c r="BF88" s="41"/>
      <c r="BG88" s="41"/>
      <c r="BH88" s="41"/>
      <c r="BI88" s="41"/>
      <c r="BJ88" s="41"/>
    </row>
    <row r="89" spans="1:62" x14ac:dyDescent="0.25">
      <c r="A89">
        <v>83</v>
      </c>
      <c r="B89" s="3"/>
      <c r="C89" s="64"/>
      <c r="D89" s="3"/>
      <c r="E89" s="64"/>
      <c r="F89" s="64"/>
      <c r="G89" s="64"/>
      <c r="H89" s="64"/>
      <c r="I89" s="64"/>
      <c r="J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row>
    <row r="90" spans="1:62" x14ac:dyDescent="0.25">
      <c r="A90">
        <v>84</v>
      </c>
      <c r="B90" s="3"/>
      <c r="C90" s="64"/>
      <c r="D90" s="3"/>
      <c r="E90" s="64"/>
      <c r="F90" s="64"/>
      <c r="G90" s="64"/>
      <c r="H90" s="64"/>
      <c r="I90" s="64"/>
      <c r="J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41"/>
      <c r="AX90" s="41"/>
      <c r="AY90" s="41"/>
      <c r="AZ90" s="41"/>
      <c r="BA90" s="41"/>
      <c r="BB90" s="41"/>
      <c r="BC90" s="3"/>
      <c r="BD90" s="3"/>
      <c r="BE90" s="3"/>
      <c r="BF90" s="3"/>
      <c r="BG90" s="3"/>
      <c r="BH90" s="3"/>
      <c r="BI90" s="3"/>
      <c r="BJ90" s="3"/>
    </row>
    <row r="91" spans="1:62" x14ac:dyDescent="0.25">
      <c r="A91">
        <v>85</v>
      </c>
      <c r="B91" s="3"/>
      <c r="C91" s="64"/>
      <c r="D91" s="3"/>
      <c r="E91" s="64"/>
      <c r="F91" s="64"/>
      <c r="G91" s="64"/>
      <c r="H91" s="64"/>
      <c r="I91" s="64"/>
      <c r="J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row>
    <row r="92" spans="1:62" x14ac:dyDescent="0.25">
      <c r="A92">
        <v>86</v>
      </c>
      <c r="B92" s="3"/>
      <c r="C92" s="64"/>
      <c r="D92" s="3"/>
      <c r="E92" s="64"/>
      <c r="F92" s="64"/>
      <c r="G92" s="64"/>
      <c r="H92" s="64"/>
      <c r="I92" s="64"/>
      <c r="J92" s="3"/>
      <c r="L92" s="3"/>
      <c r="M92" s="3"/>
      <c r="N92" s="3"/>
      <c r="O92" s="3"/>
      <c r="P92" s="3"/>
      <c r="Q92" s="3"/>
      <c r="R92" s="3"/>
      <c r="S92" s="3"/>
      <c r="T92" s="3"/>
      <c r="U92" s="3"/>
      <c r="V92" s="3"/>
      <c r="W92" s="3"/>
      <c r="X92" s="3"/>
      <c r="Y92" s="41"/>
      <c r="Z92" s="41"/>
      <c r="AA92" s="41"/>
      <c r="AB92" s="41"/>
      <c r="AC92" s="41"/>
      <c r="AD92" s="41"/>
      <c r="AE92" s="41"/>
      <c r="AF92" s="3"/>
      <c r="AG92" s="3"/>
      <c r="AH92" s="3"/>
      <c r="AI92" s="3"/>
      <c r="AJ92" s="41"/>
      <c r="AK92" s="41"/>
      <c r="AL92" s="41"/>
      <c r="AM92" s="41"/>
      <c r="AN92" s="41"/>
      <c r="AO92" s="41"/>
      <c r="AP92" s="41"/>
      <c r="AQ92" s="41"/>
      <c r="AR92" s="41"/>
      <c r="AS92" s="41"/>
      <c r="AT92" s="41"/>
      <c r="AU92" s="41"/>
      <c r="AV92" s="41"/>
      <c r="AW92" s="3"/>
      <c r="AX92" s="3"/>
      <c r="AY92" s="3"/>
      <c r="AZ92" s="3"/>
      <c r="BA92" s="3"/>
      <c r="BB92" s="3"/>
      <c r="BC92" s="3"/>
      <c r="BD92" s="3"/>
      <c r="BE92" s="3"/>
      <c r="BF92" s="3"/>
      <c r="BG92" s="3"/>
      <c r="BH92" s="3"/>
      <c r="BI92" s="3"/>
      <c r="BJ92" s="3"/>
    </row>
    <row r="93" spans="1:62" x14ac:dyDescent="0.25">
      <c r="B93" s="3"/>
      <c r="C93" s="64"/>
      <c r="D93" s="3"/>
      <c r="E93" s="64"/>
      <c r="F93" s="64"/>
      <c r="G93" s="64"/>
      <c r="H93" s="64"/>
      <c r="I93" s="64"/>
      <c r="J93" s="3"/>
      <c r="L93" s="41"/>
      <c r="M93" s="41"/>
      <c r="N93" s="41"/>
      <c r="O93" s="41"/>
      <c r="P93" s="41"/>
      <c r="Q93" s="41"/>
      <c r="R93" s="41"/>
      <c r="S93" s="41"/>
      <c r="T93" s="41"/>
      <c r="U93" s="41"/>
      <c r="V93" s="41"/>
      <c r="W93" s="41"/>
      <c r="X93" s="41"/>
      <c r="Y93" s="3"/>
      <c r="Z93" s="3"/>
      <c r="AA93" s="3"/>
      <c r="AB93" s="3"/>
      <c r="AC93" s="3"/>
      <c r="AD93" s="3"/>
      <c r="AE93" s="3"/>
      <c r="AF93" s="3"/>
      <c r="AG93" s="41"/>
      <c r="AH93" s="41"/>
      <c r="AI93" s="41"/>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row>
    <row r="94" spans="1:62" x14ac:dyDescent="0.25">
      <c r="B94" s="3"/>
      <c r="C94" s="64"/>
      <c r="D94" s="3"/>
      <c r="E94" s="64"/>
      <c r="F94" s="64"/>
      <c r="G94" s="64"/>
      <c r="H94" s="64"/>
      <c r="I94" s="64"/>
      <c r="J94" s="3"/>
      <c r="L94" s="3"/>
      <c r="M94" s="3"/>
      <c r="N94" s="3"/>
      <c r="O94" s="3"/>
      <c r="P94" s="3"/>
      <c r="Q94" s="3"/>
      <c r="R94" s="3"/>
      <c r="S94" s="3"/>
      <c r="T94" s="3"/>
      <c r="U94" s="3"/>
      <c r="V94" s="3"/>
      <c r="W94" s="3"/>
      <c r="X94" s="3"/>
      <c r="Y94" s="3"/>
      <c r="Z94" s="3"/>
      <c r="AA94" s="3"/>
      <c r="AB94" s="3"/>
      <c r="AC94" s="3"/>
      <c r="AD94" s="3"/>
      <c r="AE94" s="3"/>
      <c r="AF94" s="41"/>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row>
    <row r="95" spans="1:62" x14ac:dyDescent="0.25">
      <c r="B95" s="3"/>
      <c r="C95" s="64"/>
      <c r="D95" s="3"/>
      <c r="E95" s="64"/>
      <c r="F95" s="64"/>
      <c r="G95" s="64"/>
      <c r="H95" s="64"/>
      <c r="I95" s="64"/>
      <c r="J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row>
    <row r="96" spans="1:62" x14ac:dyDescent="0.25">
      <c r="B96" s="3"/>
      <c r="C96" s="64"/>
      <c r="D96" s="3"/>
      <c r="E96" s="64"/>
      <c r="F96" s="64"/>
      <c r="G96" s="64"/>
      <c r="H96" s="64"/>
      <c r="I96" s="64"/>
      <c r="J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row>
    <row r="97" spans="2:62" x14ac:dyDescent="0.25">
      <c r="B97" s="3"/>
      <c r="C97" s="64"/>
      <c r="D97" s="3"/>
      <c r="E97" s="64"/>
      <c r="F97" s="64"/>
      <c r="G97" s="64"/>
      <c r="H97" s="64"/>
      <c r="I97" s="64"/>
      <c r="J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row>
    <row r="98" spans="2:62" x14ac:dyDescent="0.25">
      <c r="B98" s="3"/>
      <c r="C98" s="64"/>
      <c r="D98" s="3"/>
      <c r="E98" s="64"/>
      <c r="F98" s="64"/>
      <c r="G98" s="64"/>
      <c r="H98" s="64"/>
      <c r="I98" s="64"/>
      <c r="J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row>
    <row r="99" spans="2:62" x14ac:dyDescent="0.25">
      <c r="B99" s="3"/>
      <c r="C99" s="64"/>
      <c r="D99" s="3"/>
      <c r="E99" s="64"/>
      <c r="F99" s="64"/>
      <c r="G99" s="64"/>
      <c r="H99" s="64"/>
      <c r="I99" s="64"/>
      <c r="J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row>
    <row r="100" spans="2:62" x14ac:dyDescent="0.25">
      <c r="B100" s="3"/>
      <c r="C100" s="64"/>
      <c r="D100" s="3"/>
      <c r="E100" s="64"/>
      <c r="F100" s="64"/>
      <c r="G100" s="64"/>
      <c r="H100" s="64"/>
      <c r="I100" s="64"/>
      <c r="J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row>
    <row r="101" spans="2:62" x14ac:dyDescent="0.25">
      <c r="B101" s="3"/>
      <c r="C101" s="64"/>
      <c r="D101" s="3"/>
      <c r="E101" s="64"/>
      <c r="F101" s="64"/>
      <c r="G101" s="64"/>
      <c r="H101" s="64"/>
      <c r="I101" s="64"/>
      <c r="J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row>
    <row r="102" spans="2:62" x14ac:dyDescent="0.25">
      <c r="B102" s="3"/>
      <c r="C102" s="64"/>
      <c r="D102" s="3"/>
      <c r="E102" s="64"/>
      <c r="F102" s="64"/>
      <c r="G102" s="64"/>
      <c r="H102" s="64"/>
      <c r="I102" s="64"/>
      <c r="J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row>
    <row r="103" spans="2:62" x14ac:dyDescent="0.25">
      <c r="B103" s="3"/>
      <c r="C103" s="64"/>
      <c r="D103" s="3"/>
      <c r="E103" s="64"/>
      <c r="F103" s="64"/>
      <c r="G103" s="64"/>
      <c r="H103" s="64"/>
      <c r="I103" s="64"/>
      <c r="J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row>
    <row r="104" spans="2:62" x14ac:dyDescent="0.25">
      <c r="B104" s="3"/>
      <c r="C104" s="64"/>
      <c r="D104" s="3"/>
      <c r="E104" s="64"/>
      <c r="F104" s="64"/>
      <c r="G104" s="64"/>
      <c r="H104" s="64"/>
      <c r="I104" s="64"/>
      <c r="J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row>
    <row r="105" spans="2:62" x14ac:dyDescent="0.25">
      <c r="B105" s="3"/>
      <c r="C105" s="64"/>
      <c r="D105" s="3"/>
      <c r="E105" s="64"/>
      <c r="F105" s="64"/>
      <c r="G105" s="64"/>
      <c r="H105" s="64"/>
      <c r="I105" s="64"/>
      <c r="J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row>
    <row r="106" spans="2:62" x14ac:dyDescent="0.25">
      <c r="B106" s="3"/>
      <c r="C106" s="64"/>
      <c r="D106" s="3"/>
      <c r="E106" s="64"/>
      <c r="F106" s="64"/>
      <c r="G106" s="64"/>
      <c r="H106" s="64"/>
      <c r="I106" s="64"/>
      <c r="J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row>
    <row r="107" spans="2:62" x14ac:dyDescent="0.25">
      <c r="B107" s="3"/>
      <c r="C107" s="64"/>
      <c r="D107" s="3"/>
      <c r="E107" s="64"/>
      <c r="F107" s="64"/>
      <c r="G107" s="64"/>
      <c r="H107" s="64"/>
      <c r="I107" s="64"/>
      <c r="J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row>
    <row r="108" spans="2:62" x14ac:dyDescent="0.25">
      <c r="B108" s="3"/>
      <c r="C108" s="64"/>
      <c r="D108" s="3"/>
      <c r="E108" s="64"/>
      <c r="F108" s="64"/>
      <c r="G108" s="64"/>
      <c r="H108" s="64"/>
      <c r="I108" s="64"/>
      <c r="J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row>
    <row r="109" spans="2:62" x14ac:dyDescent="0.25">
      <c r="B109" s="3"/>
      <c r="C109" s="64"/>
      <c r="D109" s="3"/>
      <c r="E109" s="64"/>
      <c r="F109" s="64"/>
      <c r="G109" s="64"/>
      <c r="H109" s="64"/>
      <c r="I109" s="64"/>
      <c r="J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row>
    <row r="110" spans="2:62" x14ac:dyDescent="0.25">
      <c r="B110" s="3"/>
      <c r="C110" s="64"/>
      <c r="D110" s="3"/>
      <c r="E110" s="64"/>
      <c r="F110" s="64"/>
      <c r="G110" s="64"/>
      <c r="H110" s="64"/>
      <c r="I110" s="64"/>
      <c r="J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row>
    <row r="111" spans="2:62" x14ac:dyDescent="0.25">
      <c r="B111" s="3"/>
      <c r="C111" s="64"/>
      <c r="D111" s="3"/>
      <c r="E111" s="64"/>
      <c r="F111" s="64"/>
      <c r="G111" s="64"/>
      <c r="H111" s="64"/>
      <c r="I111" s="64"/>
      <c r="J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row>
    <row r="112" spans="2:62" x14ac:dyDescent="0.25">
      <c r="B112" s="3"/>
      <c r="C112" s="64"/>
      <c r="D112" s="3"/>
      <c r="E112" s="64"/>
      <c r="F112" s="64"/>
      <c r="G112" s="64"/>
      <c r="H112" s="64"/>
      <c r="I112" s="64"/>
      <c r="J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row>
    <row r="113" spans="2:62" x14ac:dyDescent="0.25">
      <c r="B113" s="3"/>
      <c r="C113" s="64"/>
      <c r="D113" s="3"/>
      <c r="E113" s="64"/>
      <c r="F113" s="64"/>
      <c r="G113" s="64"/>
      <c r="H113" s="64"/>
      <c r="I113" s="64"/>
      <c r="J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row>
    <row r="114" spans="2:62" x14ac:dyDescent="0.25">
      <c r="B114" s="3"/>
      <c r="C114" s="64"/>
      <c r="D114" s="3"/>
      <c r="E114" s="64"/>
      <c r="F114" s="64"/>
      <c r="G114" s="64"/>
      <c r="H114" s="64"/>
      <c r="I114" s="64"/>
      <c r="J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row>
    <row r="115" spans="2:62" x14ac:dyDescent="0.25">
      <c r="B115" s="3"/>
      <c r="C115" s="64"/>
      <c r="D115" s="3"/>
      <c r="E115" s="64"/>
      <c r="F115" s="64"/>
      <c r="G115" s="64"/>
      <c r="H115" s="64"/>
      <c r="I115" s="64"/>
      <c r="J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row>
    <row r="116" spans="2:62" x14ac:dyDescent="0.25">
      <c r="B116" s="3"/>
      <c r="C116" s="64"/>
      <c r="D116" s="3"/>
      <c r="E116" s="64"/>
      <c r="F116" s="64"/>
      <c r="G116" s="64"/>
      <c r="H116" s="64"/>
      <c r="I116" s="64"/>
      <c r="J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row>
    <row r="117" spans="2:62" x14ac:dyDescent="0.25">
      <c r="B117" s="3"/>
      <c r="C117" s="64"/>
      <c r="D117" s="3"/>
      <c r="E117" s="64"/>
      <c r="F117" s="64"/>
      <c r="G117" s="64"/>
      <c r="H117" s="64"/>
      <c r="I117" s="64"/>
      <c r="J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row>
  </sheetData>
  <autoFilter ref="A6:BJ92" xr:uid="{00000000-0009-0000-0000-000003000000}">
    <sortState xmlns:xlrd2="http://schemas.microsoft.com/office/spreadsheetml/2017/richdata2" ref="A7:BJ92">
      <sortCondition ref="A6:A92"/>
    </sortState>
  </autoFilter>
  <conditionalFormatting sqref="L59:S63 L60:AA64 L62:AF87 L105:BJ296 U59:AA59 U60:AF62 U61:AE63 X59:AA64 X60:AF66 X61:AE67 Z58:AA60 AR34:BJ49 AR82:BJ104 AR84:AV108 AR84:BB106">
    <cfRule type="containsText" dxfId="565" priority="667" operator="containsText" text="D">
      <formula>NOT(ISERROR(SEARCH("D",L34)))</formula>
    </cfRule>
    <cfRule type="containsText" dxfId="564" priority="668" operator="containsText" text="A">
      <formula>NOT(ISERROR(SEARCH("A",L34)))</formula>
    </cfRule>
  </conditionalFormatting>
  <conditionalFormatting sqref="AR92:BE92">
    <cfRule type="containsText" dxfId="563" priority="665" operator="containsText" text="D">
      <formula>NOT(ISERROR(SEARCH("D",AR92)))</formula>
    </cfRule>
    <cfRule type="containsText" dxfId="562" priority="666" operator="containsText" text="A">
      <formula>NOT(ISERROR(SEARCH("A",AR92)))</formula>
    </cfRule>
  </conditionalFormatting>
  <conditionalFormatting sqref="L100:AQ108 AG34:AJ46 AG35:AI50 AG47:AQ49 AG82:AQ103 AN34:AQ46">
    <cfRule type="containsText" dxfId="561" priority="623" operator="containsText" text="D">
      <formula>NOT(ISERROR(SEARCH("D",L34)))</formula>
    </cfRule>
    <cfRule type="containsText" dxfId="560" priority="624" operator="containsText" text="A">
      <formula>NOT(ISERROR(SEARCH("A",L34)))</formula>
    </cfRule>
  </conditionalFormatting>
  <conditionalFormatting sqref="AG92:AQ92">
    <cfRule type="containsText" dxfId="559" priority="621" operator="containsText" text="D">
      <formula>NOT(ISERROR(SEARCH("D",AG92)))</formula>
    </cfRule>
    <cfRule type="containsText" dxfId="558" priority="622" operator="containsText" text="A">
      <formula>NOT(ISERROR(SEARCH("A",AG92)))</formula>
    </cfRule>
  </conditionalFormatting>
  <conditionalFormatting sqref="L80:AE98 L82:AF104 Z32:AA41 Z34:AF50 Z35:AB53 Z35:AE51">
    <cfRule type="containsText" dxfId="557" priority="619" operator="containsText" text="D">
      <formula>NOT(ISERROR(SEARCH("D",L32)))</formula>
    </cfRule>
    <cfRule type="containsText" dxfId="556" priority="620" operator="containsText" text="A">
      <formula>NOT(ISERROR(SEARCH("A",L32)))</formula>
    </cfRule>
  </conditionalFormatting>
  <conditionalFormatting sqref="L92:AF92">
    <cfRule type="containsText" dxfId="555" priority="617" operator="containsText" text="D">
      <formula>NOT(ISERROR(SEARCH("D",L92)))</formula>
    </cfRule>
    <cfRule type="containsText" dxfId="554" priority="618" operator="containsText" text="A">
      <formula>NOT(ISERROR(SEARCH("A",L92)))</formula>
    </cfRule>
  </conditionalFormatting>
  <conditionalFormatting sqref="Z40:AA46 Z42:AF46 Z43:AB49 Z43:AE47">
    <cfRule type="containsText" dxfId="553" priority="615" operator="containsText" text="D">
      <formula>NOT(ISERROR(SEARCH("D",Z40)))</formula>
    </cfRule>
    <cfRule type="containsText" dxfId="552" priority="616" operator="containsText" text="A">
      <formula>NOT(ISERROR(SEARCH("A",Z40)))</formula>
    </cfRule>
  </conditionalFormatting>
  <conditionalFormatting sqref="L93:X93">
    <cfRule type="containsText" dxfId="551" priority="233" operator="containsText" text="D">
      <formula>NOT(ISERROR(SEARCH("D",L93)))</formula>
    </cfRule>
    <cfRule type="containsText" dxfId="550" priority="234" operator="containsText" text="A">
      <formula>NOT(ISERROR(SEARCH("A",L93)))</formula>
    </cfRule>
    <cfRule type="containsText" dxfId="549" priority="379" operator="containsText" text="D">
      <formula>NOT(ISERROR(SEARCH("D",L93)))</formula>
    </cfRule>
    <cfRule type="containsText" dxfId="548" priority="380" operator="containsText" text="A">
      <formula>NOT(ISERROR(SEARCH("A",L93)))</formula>
    </cfRule>
    <cfRule type="containsText" dxfId="547" priority="417" operator="containsText" text="D">
      <formula>NOT(ISERROR(SEARCH("D",L93)))</formula>
    </cfRule>
    <cfRule type="containsText" dxfId="546" priority="418" operator="containsText" text="A">
      <formula>NOT(ISERROR(SEARCH("A",L93)))</formula>
    </cfRule>
    <cfRule type="containsText" dxfId="545" priority="605" operator="containsText" text="D">
      <formula>NOT(ISERROR(SEARCH("D",L93)))</formula>
    </cfRule>
    <cfRule type="containsText" dxfId="544" priority="606" operator="containsText" text="A">
      <formula>NOT(ISERROR(SEARCH("A",L93)))</formula>
    </cfRule>
  </conditionalFormatting>
  <conditionalFormatting sqref="AR7:BJ11">
    <cfRule type="containsText" dxfId="543" priority="585" operator="containsText" text="D">
      <formula>NOT(ISERROR(SEARCH("D",AR7)))</formula>
    </cfRule>
    <cfRule type="containsText" dxfId="542" priority="586" operator="containsText" text="A">
      <formula>NOT(ISERROR(SEARCH("A",AR7)))</formula>
    </cfRule>
  </conditionalFormatting>
  <conditionalFormatting sqref="AG7:AJ11 AN7:AQ11">
    <cfRule type="containsText" dxfId="541" priority="583" operator="containsText" text="D">
      <formula>NOT(ISERROR(SEARCH("D",AG7)))</formula>
    </cfRule>
    <cfRule type="containsText" dxfId="540" priority="584" operator="containsText" text="A">
      <formula>NOT(ISERROR(SEARCH("A",AG7)))</formula>
    </cfRule>
  </conditionalFormatting>
  <conditionalFormatting sqref="L7:AF11 L9:AB14 L11:AE12">
    <cfRule type="containsText" dxfId="539" priority="581" operator="containsText" text="D">
      <formula>NOT(ISERROR(SEARCH("D",L7)))</formula>
    </cfRule>
    <cfRule type="containsText" dxfId="538" priority="582" operator="containsText" text="A">
      <formula>NOT(ISERROR(SEARCH("A",L7)))</formula>
    </cfRule>
  </conditionalFormatting>
  <conditionalFormatting sqref="AR12:BJ13">
    <cfRule type="containsText" dxfId="537" priority="579" operator="containsText" text="D">
      <formula>NOT(ISERROR(SEARCH("D",AR12)))</formula>
    </cfRule>
    <cfRule type="containsText" dxfId="536" priority="580" operator="containsText" text="A">
      <formula>NOT(ISERROR(SEARCH("A",AR12)))</formula>
    </cfRule>
  </conditionalFormatting>
  <conditionalFormatting sqref="AG12:AJ13 AG13:AI14 AN12:AQ13">
    <cfRule type="containsText" dxfId="535" priority="577" operator="containsText" text="D">
      <formula>NOT(ISERROR(SEARCH("D",AG12)))</formula>
    </cfRule>
    <cfRule type="containsText" dxfId="534" priority="578" operator="containsText" text="A">
      <formula>NOT(ISERROR(SEARCH("A",AG12)))</formula>
    </cfRule>
  </conditionalFormatting>
  <conditionalFormatting sqref="L12:AF14 L13:AB17 L13:AE15">
    <cfRule type="containsText" dxfId="533" priority="575" operator="containsText" text="D">
      <formula>NOT(ISERROR(SEARCH("D",L12)))</formula>
    </cfRule>
    <cfRule type="containsText" dxfId="532" priority="576" operator="containsText" text="A">
      <formula>NOT(ISERROR(SEARCH("A",L12)))</formula>
    </cfRule>
  </conditionalFormatting>
  <conditionalFormatting sqref="AR14:BJ15">
    <cfRule type="containsText" dxfId="531" priority="573" operator="containsText" text="D">
      <formula>NOT(ISERROR(SEARCH("D",AR14)))</formula>
    </cfRule>
    <cfRule type="containsText" dxfId="530" priority="574" operator="containsText" text="A">
      <formula>NOT(ISERROR(SEARCH("A",AR14)))</formula>
    </cfRule>
  </conditionalFormatting>
  <conditionalFormatting sqref="AG14:AJ15 AG15:AI16 AN14:AQ15">
    <cfRule type="containsText" dxfId="529" priority="571" operator="containsText" text="D">
      <formula>NOT(ISERROR(SEARCH("D",AG14)))</formula>
    </cfRule>
    <cfRule type="containsText" dxfId="528" priority="572" operator="containsText" text="A">
      <formula>NOT(ISERROR(SEARCH("A",AG14)))</formula>
    </cfRule>
  </conditionalFormatting>
  <conditionalFormatting sqref="L14:AF16 L15:AB19 L15:AE17">
    <cfRule type="containsText" dxfId="527" priority="569" operator="containsText" text="D">
      <formula>NOT(ISERROR(SEARCH("D",L14)))</formula>
    </cfRule>
    <cfRule type="containsText" dxfId="526" priority="570" operator="containsText" text="A">
      <formula>NOT(ISERROR(SEARCH("A",L14)))</formula>
    </cfRule>
  </conditionalFormatting>
  <conditionalFormatting sqref="AR16:BJ20">
    <cfRule type="containsText" dxfId="525" priority="567" operator="containsText" text="D">
      <formula>NOT(ISERROR(SEARCH("D",AR16)))</formula>
    </cfRule>
    <cfRule type="containsText" dxfId="524" priority="568" operator="containsText" text="A">
      <formula>NOT(ISERROR(SEARCH("A",AR16)))</formula>
    </cfRule>
  </conditionalFormatting>
  <conditionalFormatting sqref="AG16:AJ20 AG17:AI21 AN16:AQ20">
    <cfRule type="containsText" dxfId="523" priority="565" operator="containsText" text="D">
      <formula>NOT(ISERROR(SEARCH("D",AG16)))</formula>
    </cfRule>
    <cfRule type="containsText" dxfId="522" priority="566" operator="containsText" text="A">
      <formula>NOT(ISERROR(SEARCH("A",AG16)))</formula>
    </cfRule>
  </conditionalFormatting>
  <conditionalFormatting sqref="L16:AF20 L17:AB23 L17:AE21 L21:R24 S21:S33 T21:AF21 T22:AB24 T22:AE22">
    <cfRule type="containsText" dxfId="521" priority="563" operator="containsText" text="D">
      <formula>NOT(ISERROR(SEARCH("D",L16)))</formula>
    </cfRule>
    <cfRule type="containsText" dxfId="520" priority="564" operator="containsText" text="A">
      <formula>NOT(ISERROR(SEARCH("A",L16)))</formula>
    </cfRule>
  </conditionalFormatting>
  <conditionalFormatting sqref="AR21:BJ33">
    <cfRule type="containsText" dxfId="519" priority="561" operator="containsText" text="D">
      <formula>NOT(ISERROR(SEARCH("D",AR21)))</formula>
    </cfRule>
    <cfRule type="containsText" dxfId="518" priority="562" operator="containsText" text="A">
      <formula>NOT(ISERROR(SEARCH("A",AR21)))</formula>
    </cfRule>
  </conditionalFormatting>
  <conditionalFormatting sqref="AG21:AJ33 AG22:AI34 AN21:AQ33">
    <cfRule type="containsText" dxfId="517" priority="559" operator="containsText" text="D">
      <formula>NOT(ISERROR(SEARCH("D",AG21)))</formula>
    </cfRule>
    <cfRule type="containsText" dxfId="516" priority="560" operator="containsText" text="A">
      <formula>NOT(ISERROR(SEARCH("A",AG21)))</formula>
    </cfRule>
  </conditionalFormatting>
  <conditionalFormatting sqref="L21:R26 T21:AF23 T22:AB26 Z23:AF34 Z24:AB37 Z24:AE35">
    <cfRule type="containsText" dxfId="515" priority="557" operator="containsText" text="D">
      <formula>NOT(ISERROR(SEARCH("D",L21)))</formula>
    </cfRule>
    <cfRule type="containsText" dxfId="514" priority="558" operator="containsText" text="A">
      <formula>NOT(ISERROR(SEARCH("A",L21)))</formula>
    </cfRule>
  </conditionalFormatting>
  <conditionalFormatting sqref="Z24:AA31 Z26:AF30 Z27:AB33 Z27:AE31">
    <cfRule type="containsText" dxfId="513" priority="555" operator="containsText" text="D">
      <formula>NOT(ISERROR(SEARCH("D",Z24)))</formula>
    </cfRule>
    <cfRule type="containsText" dxfId="512" priority="556" operator="containsText" text="A">
      <formula>NOT(ISERROR(SEARCH("A",Z24)))</formula>
    </cfRule>
  </conditionalFormatting>
  <conditionalFormatting sqref="AR60:BJ81 AR62:AV85 AR64:BB83">
    <cfRule type="containsText" dxfId="511" priority="553" operator="containsText" text="D">
      <formula>NOT(ISERROR(SEARCH("D",AR60)))</formula>
    </cfRule>
    <cfRule type="containsText" dxfId="510" priority="554" operator="containsText" text="A">
      <formula>NOT(ISERROR(SEARCH("A",AR60)))</formula>
    </cfRule>
  </conditionalFormatting>
  <conditionalFormatting sqref="AG60:AJ64 AG61:AI86 AG63:AQ85 AN60:AQ64">
    <cfRule type="containsText" dxfId="509" priority="551" operator="containsText" text="D">
      <formula>NOT(ISERROR(SEARCH("D",AG60)))</formula>
    </cfRule>
    <cfRule type="containsText" dxfId="508" priority="552" operator="containsText" text="A">
      <formula>NOT(ISERROR(SEARCH("A",AG60)))</formula>
    </cfRule>
  </conditionalFormatting>
  <conditionalFormatting sqref="L59:S63 L60:AA64 L62:AE85 U59:AE63 Z56:AA60 Z58:AE60">
    <cfRule type="containsText" dxfId="507" priority="549" operator="containsText" text="D">
      <formula>NOT(ISERROR(SEARCH("D",L56)))</formula>
    </cfRule>
    <cfRule type="containsText" dxfId="506" priority="550" operator="containsText" text="A">
      <formula>NOT(ISERROR(SEARCH("A",L56)))</formula>
    </cfRule>
  </conditionalFormatting>
  <conditionalFormatting sqref="X59:AE67 X62:X69 Z56:AA60 Z58:AE60">
    <cfRule type="containsText" dxfId="505" priority="547" operator="containsText" text="D">
      <formula>NOT(ISERROR(SEARCH("D",X56)))</formula>
    </cfRule>
    <cfRule type="containsText" dxfId="504" priority="548" operator="containsText" text="A">
      <formula>NOT(ISERROR(SEARCH("A",X56)))</formula>
    </cfRule>
  </conditionalFormatting>
  <conditionalFormatting sqref="L80:W80">
    <cfRule type="containsText" dxfId="503" priority="231" operator="containsText" text="D">
      <formula>NOT(ISERROR(SEARCH("D",L80)))</formula>
    </cfRule>
    <cfRule type="containsText" dxfId="502" priority="232" operator="containsText" text="A">
      <formula>NOT(ISERROR(SEARCH("A",L80)))</formula>
    </cfRule>
    <cfRule type="containsText" dxfId="501" priority="377" operator="containsText" text="D">
      <formula>NOT(ISERROR(SEARCH("D",L80)))</formula>
    </cfRule>
    <cfRule type="containsText" dxfId="500" priority="378" operator="containsText" text="A">
      <formula>NOT(ISERROR(SEARCH("A",L80)))</formula>
    </cfRule>
    <cfRule type="containsText" dxfId="499" priority="391" operator="containsText" text="D">
      <formula>NOT(ISERROR(SEARCH("D",L80)))</formula>
    </cfRule>
    <cfRule type="containsText" dxfId="498" priority="392" operator="containsText" text="A">
      <formula>NOT(ISERROR(SEARCH("A",L80)))</formula>
    </cfRule>
    <cfRule type="containsText" dxfId="497" priority="405" operator="containsText" text="D">
      <formula>NOT(ISERROR(SEARCH("D",L80)))</formula>
    </cfRule>
    <cfRule type="containsText" dxfId="496" priority="406" operator="containsText" text="A">
      <formula>NOT(ISERROR(SEARCH("A",L80)))</formula>
    </cfRule>
    <cfRule type="containsText" dxfId="495" priority="415" operator="containsText" text="D">
      <formula>NOT(ISERROR(SEARCH("D",L80)))</formula>
    </cfRule>
    <cfRule type="containsText" dxfId="494" priority="416" operator="containsText" text="A">
      <formula>NOT(ISERROR(SEARCH("A",L80)))</formula>
    </cfRule>
    <cfRule type="containsText" dxfId="493" priority="545" operator="containsText" text="D">
      <formula>NOT(ISERROR(SEARCH("D",L80)))</formula>
    </cfRule>
    <cfRule type="containsText" dxfId="492" priority="546" operator="containsText" text="A">
      <formula>NOT(ISERROR(SEARCH("A",L80)))</formula>
    </cfRule>
  </conditionalFormatting>
  <conditionalFormatting sqref="P77:P86">
    <cfRule type="containsText" dxfId="491" priority="543" operator="containsText" text="D">
      <formula>NOT(ISERROR(SEARCH("D",P77)))</formula>
    </cfRule>
    <cfRule type="containsText" dxfId="490" priority="544" operator="containsText" text="A">
      <formula>NOT(ISERROR(SEARCH("A",P77)))</formula>
    </cfRule>
  </conditionalFormatting>
  <conditionalFormatting sqref="P78:P87">
    <cfRule type="containsText" dxfId="489" priority="541" operator="containsText" text="D">
      <formula>NOT(ISERROR(SEARCH("D",P78)))</formula>
    </cfRule>
    <cfRule type="containsText" dxfId="488" priority="542" operator="containsText" text="A">
      <formula>NOT(ISERROR(SEARCH("A",P78)))</formula>
    </cfRule>
  </conditionalFormatting>
  <conditionalFormatting sqref="L81:W81">
    <cfRule type="containsText" dxfId="487" priority="201" operator="containsText" text="D">
      <formula>NOT(ISERROR(SEARCH("D",L81)))</formula>
    </cfRule>
    <cfRule type="containsText" dxfId="486" priority="202" operator="containsText" text="A">
      <formula>NOT(ISERROR(SEARCH("A",L81)))</formula>
    </cfRule>
    <cfRule type="containsText" dxfId="485" priority="215" operator="containsText" text="D">
      <formula>NOT(ISERROR(SEARCH("D",L81)))</formula>
    </cfRule>
    <cfRule type="containsText" dxfId="484" priority="216" operator="containsText" text="A">
      <formula>NOT(ISERROR(SEARCH("A",L81)))</formula>
    </cfRule>
    <cfRule type="containsText" dxfId="483" priority="229" operator="containsText" text="D">
      <formula>NOT(ISERROR(SEARCH("D",L81)))</formula>
    </cfRule>
    <cfRule type="containsText" dxfId="482" priority="230" operator="containsText" text="A">
      <formula>NOT(ISERROR(SEARCH("A",L81)))</formula>
    </cfRule>
    <cfRule type="containsText" dxfId="481" priority="375" operator="containsText" text="D">
      <formula>NOT(ISERROR(SEARCH("D",L81)))</formula>
    </cfRule>
    <cfRule type="containsText" dxfId="480" priority="376" operator="containsText" text="A">
      <formula>NOT(ISERROR(SEARCH("A",L81)))</formula>
    </cfRule>
    <cfRule type="containsText" dxfId="479" priority="385" operator="containsText" text="D">
      <formula>NOT(ISERROR(SEARCH("D",L81)))</formula>
    </cfRule>
    <cfRule type="containsText" dxfId="478" priority="386" operator="containsText" text="A">
      <formula>NOT(ISERROR(SEARCH("A",L81)))</formula>
    </cfRule>
    <cfRule type="containsText" dxfId="477" priority="401" operator="containsText" text="D">
      <formula>NOT(ISERROR(SEARCH("D",L81)))</formula>
    </cfRule>
    <cfRule type="containsText" dxfId="476" priority="402" operator="containsText" text="A">
      <formula>NOT(ISERROR(SEARCH("A",L81)))</formula>
    </cfRule>
    <cfRule type="containsText" dxfId="475" priority="413" operator="containsText" text="D">
      <formula>NOT(ISERROR(SEARCH("D",L81)))</formula>
    </cfRule>
    <cfRule type="containsText" dxfId="474" priority="414" operator="containsText" text="A">
      <formula>NOT(ISERROR(SEARCH("A",L81)))</formula>
    </cfRule>
    <cfRule type="containsText" dxfId="473" priority="453" operator="containsText" text="D">
      <formula>NOT(ISERROR(SEARCH("D",L81)))</formula>
    </cfRule>
    <cfRule type="containsText" dxfId="472" priority="454" operator="containsText" text="A">
      <formula>NOT(ISERROR(SEARCH("A",L81)))</formula>
    </cfRule>
    <cfRule type="containsText" dxfId="471" priority="469" operator="containsText" text="D">
      <formula>NOT(ISERROR(SEARCH("D",L81)))</formula>
    </cfRule>
    <cfRule type="containsText" dxfId="470" priority="470" operator="containsText" text="A">
      <formula>NOT(ISERROR(SEARCH("A",L81)))</formula>
    </cfRule>
    <cfRule type="containsText" dxfId="469" priority="539" operator="containsText" text="D">
      <formula>NOT(ISERROR(SEARCH("D",L81)))</formula>
    </cfRule>
    <cfRule type="containsText" dxfId="468" priority="540" operator="containsText" text="A">
      <formula>NOT(ISERROR(SEARCH("A",L81)))</formula>
    </cfRule>
  </conditionalFormatting>
  <conditionalFormatting sqref="Q61:Q70">
    <cfRule type="containsText" dxfId="467" priority="537" operator="containsText" text="D">
      <formula>NOT(ISERROR(SEARCH("D",Q61)))</formula>
    </cfRule>
    <cfRule type="containsText" dxfId="466" priority="538" operator="containsText" text="A">
      <formula>NOT(ISERROR(SEARCH("A",Q61)))</formula>
    </cfRule>
  </conditionalFormatting>
  <conditionalFormatting sqref="S65:S72">
    <cfRule type="containsText" dxfId="465" priority="535" operator="containsText" text="D">
      <formula>NOT(ISERROR(SEARCH("D",S65)))</formula>
    </cfRule>
    <cfRule type="containsText" dxfId="464" priority="536" operator="containsText" text="A">
      <formula>NOT(ISERROR(SEARCH("A",S65)))</formula>
    </cfRule>
  </conditionalFormatting>
  <conditionalFormatting sqref="U68:U74">
    <cfRule type="containsText" dxfId="463" priority="533" operator="containsText" text="D">
      <formula>NOT(ISERROR(SEARCH("D",U68)))</formula>
    </cfRule>
    <cfRule type="containsText" dxfId="462" priority="534" operator="containsText" text="A">
      <formula>NOT(ISERROR(SEARCH("A",U68)))</formula>
    </cfRule>
  </conditionalFormatting>
  <conditionalFormatting sqref="W70:W76">
    <cfRule type="containsText" dxfId="461" priority="531" operator="containsText" text="D">
      <formula>NOT(ISERROR(SEARCH("D",W70)))</formula>
    </cfRule>
    <cfRule type="containsText" dxfId="460" priority="532" operator="containsText" text="A">
      <formula>NOT(ISERROR(SEARCH("A",W70)))</formula>
    </cfRule>
  </conditionalFormatting>
  <conditionalFormatting sqref="Y72:Y78">
    <cfRule type="containsText" dxfId="459" priority="529" operator="containsText" text="D">
      <formula>NOT(ISERROR(SEARCH("D",Y72)))</formula>
    </cfRule>
    <cfRule type="containsText" dxfId="458" priority="530" operator="containsText" text="A">
      <formula>NOT(ISERROR(SEARCH("A",Y72)))</formula>
    </cfRule>
  </conditionalFormatting>
  <conditionalFormatting sqref="AA73:AA79">
    <cfRule type="containsText" dxfId="457" priority="527" operator="containsText" text="D">
      <formula>NOT(ISERROR(SEARCH("D",AA73)))</formula>
    </cfRule>
    <cfRule type="containsText" dxfId="456" priority="528" operator="containsText" text="A">
      <formula>NOT(ISERROR(SEARCH("A",AA73)))</formula>
    </cfRule>
  </conditionalFormatting>
  <conditionalFormatting sqref="AC74:AC80">
    <cfRule type="containsText" dxfId="455" priority="525" operator="containsText" text="D">
      <formula>NOT(ISERROR(SEARCH("D",AC74)))</formula>
    </cfRule>
    <cfRule type="containsText" dxfId="454" priority="526" operator="containsText" text="A">
      <formula>NOT(ISERROR(SEARCH("A",AC74)))</formula>
    </cfRule>
  </conditionalFormatting>
  <conditionalFormatting sqref="AE75:AE81">
    <cfRule type="containsText" dxfId="453" priority="523" operator="containsText" text="D">
      <formula>NOT(ISERROR(SEARCH("D",AE75)))</formula>
    </cfRule>
    <cfRule type="containsText" dxfId="452" priority="524" operator="containsText" text="A">
      <formula>NOT(ISERROR(SEARCH("A",AE75)))</formula>
    </cfRule>
  </conditionalFormatting>
  <conditionalFormatting sqref="AR50:BJ59 AR59:AV61">
    <cfRule type="containsText" dxfId="451" priority="521" operator="containsText" text="D">
      <formula>NOT(ISERROR(SEARCH("D",AR50)))</formula>
    </cfRule>
    <cfRule type="containsText" dxfId="450" priority="522" operator="containsText" text="A">
      <formula>NOT(ISERROR(SEARCH("A",AR50)))</formula>
    </cfRule>
  </conditionalFormatting>
  <conditionalFormatting sqref="AG50:AJ61 AG51:AI63 AN50:AQ61">
    <cfRule type="containsText" dxfId="449" priority="519" operator="containsText" text="D">
      <formula>NOT(ISERROR(SEARCH("D",AG50)))</formula>
    </cfRule>
    <cfRule type="containsText" dxfId="448" priority="520" operator="containsText" text="A">
      <formula>NOT(ISERROR(SEARCH("A",AG50)))</formula>
    </cfRule>
  </conditionalFormatting>
  <conditionalFormatting sqref="L59:S63 L60:AA62 L62:AF63 L63:AE64 U59:AF62 U60:AE63 Z46:AA51 Z48:AE51 Z49:AB57 Z51:AF59 Z54:AE60 AB50:AF50">
    <cfRule type="containsText" dxfId="447" priority="517" operator="containsText" text="D">
      <formula>NOT(ISERROR(SEARCH("D",L46)))</formula>
    </cfRule>
    <cfRule type="containsText" dxfId="446" priority="518" operator="containsText" text="A">
      <formula>NOT(ISERROR(SEARCH("A",L46)))</formula>
    </cfRule>
  </conditionalFormatting>
  <conditionalFormatting sqref="L59:S62 U59:AF61 U60:AE62 Z54:AA58 Z56:AE60 Z58:AF58">
    <cfRule type="containsText" dxfId="445" priority="515" operator="containsText" text="D">
      <formula>NOT(ISERROR(SEARCH("D",L54)))</formula>
    </cfRule>
    <cfRule type="containsText" dxfId="444" priority="516" operator="containsText" text="A">
      <formula>NOT(ISERROR(SEARCH("A",L54)))</formula>
    </cfRule>
  </conditionalFormatting>
  <conditionalFormatting sqref="AR94:AV94">
    <cfRule type="containsText" dxfId="443" priority="505" operator="containsText" text="D">
      <formula>NOT(ISERROR(SEARCH("D",AR94)))</formula>
    </cfRule>
    <cfRule type="containsText" dxfId="442" priority="506" operator="containsText" text="A">
      <formula>NOT(ISERROR(SEARCH("A",AR94)))</formula>
    </cfRule>
  </conditionalFormatting>
  <conditionalFormatting sqref="AG94:AQ94">
    <cfRule type="containsText" dxfId="441" priority="311" operator="containsText" text="D">
      <formula>NOT(ISERROR(SEARCH("D",AG94)))</formula>
    </cfRule>
    <cfRule type="containsText" dxfId="440" priority="312" operator="containsText" text="A">
      <formula>NOT(ISERROR(SEARCH("A",AG94)))</formula>
    </cfRule>
    <cfRule type="containsText" dxfId="439" priority="503" operator="containsText" text="D">
      <formula>NOT(ISERROR(SEARCH("D",AG94)))</formula>
    </cfRule>
    <cfRule type="containsText" dxfId="438" priority="504" operator="containsText" text="A">
      <formula>NOT(ISERROR(SEARCH("A",AG94)))</formula>
    </cfRule>
  </conditionalFormatting>
  <conditionalFormatting sqref="L94:AF94">
    <cfRule type="containsText" dxfId="437" priority="309" operator="containsText" text="D">
      <formula>NOT(ISERROR(SEARCH("D",L94)))</formula>
    </cfRule>
    <cfRule type="containsText" dxfId="436" priority="310" operator="containsText" text="A">
      <formula>NOT(ISERROR(SEARCH("A",L94)))</formula>
    </cfRule>
    <cfRule type="containsText" dxfId="435" priority="441" operator="containsText" text="D">
      <formula>NOT(ISERROR(SEARCH("D",L94)))</formula>
    </cfRule>
    <cfRule type="containsText" dxfId="434" priority="442" operator="containsText" text="A">
      <formula>NOT(ISERROR(SEARCH("A",L94)))</formula>
    </cfRule>
    <cfRule type="containsText" dxfId="433" priority="501" operator="containsText" text="D">
      <formula>NOT(ISERROR(SEARCH("D",L94)))</formula>
    </cfRule>
    <cfRule type="containsText" dxfId="432" priority="502" operator="containsText" text="A">
      <formula>NOT(ISERROR(SEARCH("A",L94)))</formula>
    </cfRule>
  </conditionalFormatting>
  <conditionalFormatting sqref="L95:X95">
    <cfRule type="containsText" dxfId="431" priority="187" operator="containsText" text="D">
      <formula>NOT(ISERROR(SEARCH("D",L95)))</formula>
    </cfRule>
    <cfRule type="containsText" dxfId="430" priority="188" operator="containsText" text="A">
      <formula>NOT(ISERROR(SEARCH("A",L95)))</formula>
    </cfRule>
    <cfRule type="containsText" dxfId="429" priority="225" operator="containsText" text="D">
      <formula>NOT(ISERROR(SEARCH("D",L95)))</formula>
    </cfRule>
    <cfRule type="containsText" dxfId="428" priority="226" operator="containsText" text="A">
      <formula>NOT(ISERROR(SEARCH("A",L95)))</formula>
    </cfRule>
    <cfRule type="containsText" dxfId="427" priority="307" operator="containsText" text="D">
      <formula>NOT(ISERROR(SEARCH("D",L95)))</formula>
    </cfRule>
    <cfRule type="containsText" dxfId="426" priority="308" operator="containsText" text="A">
      <formula>NOT(ISERROR(SEARCH("A",L95)))</formula>
    </cfRule>
    <cfRule type="containsText" dxfId="425" priority="439" operator="containsText" text="D">
      <formula>NOT(ISERROR(SEARCH("D",L95)))</formula>
    </cfRule>
    <cfRule type="containsText" dxfId="424" priority="440" operator="containsText" text="A">
      <formula>NOT(ISERROR(SEARCH("A",L95)))</formula>
    </cfRule>
    <cfRule type="containsText" dxfId="423" priority="499" operator="containsText" text="D">
      <formula>NOT(ISERROR(SEARCH("D",L95)))</formula>
    </cfRule>
    <cfRule type="containsText" dxfId="422" priority="500" operator="containsText" text="A">
      <formula>NOT(ISERROR(SEARCH("A",L95)))</formula>
    </cfRule>
  </conditionalFormatting>
  <conditionalFormatting sqref="L82:W82">
    <cfRule type="containsText" dxfId="421" priority="185" operator="containsText" text="D">
      <formula>NOT(ISERROR(SEARCH("D",L82)))</formula>
    </cfRule>
    <cfRule type="containsText" dxfId="420" priority="186" operator="containsText" text="A">
      <formula>NOT(ISERROR(SEARCH("A",L82)))</formula>
    </cfRule>
    <cfRule type="containsText" dxfId="419" priority="199" operator="containsText" text="D">
      <formula>NOT(ISERROR(SEARCH("D",L82)))</formula>
    </cfRule>
    <cfRule type="containsText" dxfId="418" priority="200" operator="containsText" text="A">
      <formula>NOT(ISERROR(SEARCH("A",L82)))</formula>
    </cfRule>
    <cfRule type="containsText" dxfId="417" priority="213" operator="containsText" text="D">
      <formula>NOT(ISERROR(SEARCH("D",L82)))</formula>
    </cfRule>
    <cfRule type="containsText" dxfId="416" priority="214" operator="containsText" text="A">
      <formula>NOT(ISERROR(SEARCH("A",L82)))</formula>
    </cfRule>
    <cfRule type="containsText" dxfId="415" priority="223" operator="containsText" text="D">
      <formula>NOT(ISERROR(SEARCH("D",L82)))</formula>
    </cfRule>
    <cfRule type="containsText" dxfId="414" priority="224" operator="containsText" text="A">
      <formula>NOT(ISERROR(SEARCH("A",L82)))</formula>
    </cfRule>
    <cfRule type="containsText" dxfId="413" priority="305" operator="containsText" text="D">
      <formula>NOT(ISERROR(SEARCH("D",L82)))</formula>
    </cfRule>
    <cfRule type="containsText" dxfId="412" priority="306" operator="containsText" text="A">
      <formula>NOT(ISERROR(SEARCH("A",L82)))</formula>
    </cfRule>
    <cfRule type="containsText" dxfId="411" priority="371" operator="containsText" text="D">
      <formula>NOT(ISERROR(SEARCH("D",L82)))</formula>
    </cfRule>
    <cfRule type="containsText" dxfId="410" priority="372" operator="containsText" text="A">
      <formula>NOT(ISERROR(SEARCH("A",L82)))</formula>
    </cfRule>
    <cfRule type="containsText" dxfId="409" priority="383" operator="containsText" text="D">
      <formula>NOT(ISERROR(SEARCH("D",L82)))</formula>
    </cfRule>
    <cfRule type="containsText" dxfId="408" priority="384" operator="containsText" text="A">
      <formula>NOT(ISERROR(SEARCH("A",L82)))</formula>
    </cfRule>
    <cfRule type="containsText" dxfId="407" priority="399" operator="containsText" text="D">
      <formula>NOT(ISERROR(SEARCH("D",L82)))</formula>
    </cfRule>
    <cfRule type="containsText" dxfId="406" priority="400" operator="containsText" text="A">
      <formula>NOT(ISERROR(SEARCH("A",L82)))</formula>
    </cfRule>
    <cfRule type="containsText" dxfId="405" priority="437" operator="containsText" text="D">
      <formula>NOT(ISERROR(SEARCH("D",L82)))</formula>
    </cfRule>
    <cfRule type="containsText" dxfId="404" priority="438" operator="containsText" text="A">
      <formula>NOT(ISERROR(SEARCH("A",L82)))</formula>
    </cfRule>
    <cfRule type="containsText" dxfId="403" priority="451" operator="containsText" text="D">
      <formula>NOT(ISERROR(SEARCH("D",L82)))</formula>
    </cfRule>
    <cfRule type="containsText" dxfId="402" priority="452" operator="containsText" text="A">
      <formula>NOT(ISERROR(SEARCH("A",L82)))</formula>
    </cfRule>
    <cfRule type="containsText" dxfId="401" priority="467" operator="containsText" text="D">
      <formula>NOT(ISERROR(SEARCH("D",L82)))</formula>
    </cfRule>
    <cfRule type="containsText" dxfId="400" priority="468" operator="containsText" text="A">
      <formula>NOT(ISERROR(SEARCH("A",L82)))</formula>
    </cfRule>
    <cfRule type="containsText" dxfId="399" priority="497" operator="containsText" text="D">
      <formula>NOT(ISERROR(SEARCH("D",L82)))</formula>
    </cfRule>
    <cfRule type="containsText" dxfId="398" priority="498" operator="containsText" text="A">
      <formula>NOT(ISERROR(SEARCH("A",L82)))</formula>
    </cfRule>
  </conditionalFormatting>
  <conditionalFormatting sqref="L83:W83">
    <cfRule type="containsText" dxfId="397" priority="183" operator="containsText" text="D">
      <formula>NOT(ISERROR(SEARCH("D",L83)))</formula>
    </cfRule>
    <cfRule type="containsText" dxfId="396" priority="184" operator="containsText" text="A">
      <formula>NOT(ISERROR(SEARCH("A",L83)))</formula>
    </cfRule>
    <cfRule type="containsText" dxfId="395" priority="193" operator="containsText" text="D">
      <formula>NOT(ISERROR(SEARCH("D",L83)))</formula>
    </cfRule>
    <cfRule type="containsText" dxfId="394" priority="194" operator="containsText" text="A">
      <formula>NOT(ISERROR(SEARCH("A",L83)))</formula>
    </cfRule>
    <cfRule type="containsText" dxfId="393" priority="209" operator="containsText" text="D">
      <formula>NOT(ISERROR(SEARCH("D",L83)))</formula>
    </cfRule>
    <cfRule type="containsText" dxfId="392" priority="210" operator="containsText" text="A">
      <formula>NOT(ISERROR(SEARCH("A",L83)))</formula>
    </cfRule>
    <cfRule type="containsText" dxfId="391" priority="221" operator="containsText" text="D">
      <formula>NOT(ISERROR(SEARCH("D",L83)))</formula>
    </cfRule>
    <cfRule type="containsText" dxfId="390" priority="222" operator="containsText" text="A">
      <formula>NOT(ISERROR(SEARCH("A",L83)))</formula>
    </cfRule>
    <cfRule type="containsText" dxfId="389" priority="261" operator="containsText" text="D">
      <formula>NOT(ISERROR(SEARCH("D",L83)))</formula>
    </cfRule>
    <cfRule type="containsText" dxfId="388" priority="262" operator="containsText" text="A">
      <formula>NOT(ISERROR(SEARCH("A",L83)))</formula>
    </cfRule>
    <cfRule type="containsText" dxfId="387" priority="277" operator="containsText" text="D">
      <formula>NOT(ISERROR(SEARCH("D",L83)))</formula>
    </cfRule>
    <cfRule type="containsText" dxfId="386" priority="278" operator="containsText" text="A">
      <formula>NOT(ISERROR(SEARCH("A",L83)))</formula>
    </cfRule>
    <cfRule type="containsText" dxfId="385" priority="303" operator="containsText" text="D">
      <formula>NOT(ISERROR(SEARCH("D",L83)))</formula>
    </cfRule>
    <cfRule type="containsText" dxfId="384" priority="304" operator="containsText" text="A">
      <formula>NOT(ISERROR(SEARCH("A",L83)))</formula>
    </cfRule>
    <cfRule type="containsText" dxfId="383" priority="369" operator="containsText" text="D">
      <formula>NOT(ISERROR(SEARCH("D",L83)))</formula>
    </cfRule>
    <cfRule type="containsText" dxfId="382" priority="370" operator="containsText" text="A">
      <formula>NOT(ISERROR(SEARCH("A",L83)))</formula>
    </cfRule>
    <cfRule type="containsText" dxfId="381" priority="435" operator="containsText" text="D">
      <formula>NOT(ISERROR(SEARCH("D",L83)))</formula>
    </cfRule>
    <cfRule type="containsText" dxfId="380" priority="436" operator="containsText" text="A">
      <formula>NOT(ISERROR(SEARCH("A",L83)))</formula>
    </cfRule>
    <cfRule type="containsText" dxfId="379" priority="445" operator="containsText" text="D">
      <formula>NOT(ISERROR(SEARCH("D",L83)))</formula>
    </cfRule>
    <cfRule type="containsText" dxfId="378" priority="446" operator="containsText" text="A">
      <formula>NOT(ISERROR(SEARCH("A",L83)))</formula>
    </cfRule>
    <cfRule type="containsText" dxfId="377" priority="461" operator="containsText" text="D">
      <formula>NOT(ISERROR(SEARCH("D",L83)))</formula>
    </cfRule>
    <cfRule type="containsText" dxfId="376" priority="462" operator="containsText" text="A">
      <formula>NOT(ISERROR(SEARCH("A",L83)))</formula>
    </cfRule>
    <cfRule type="containsText" dxfId="375" priority="495" operator="containsText" text="D">
      <formula>NOT(ISERROR(SEARCH("D",L83)))</formula>
    </cfRule>
    <cfRule type="containsText" dxfId="374" priority="496" operator="containsText" text="A">
      <formula>NOT(ISERROR(SEARCH("A",L83)))</formula>
    </cfRule>
  </conditionalFormatting>
  <conditionalFormatting sqref="Q65:Q72">
    <cfRule type="containsText" dxfId="373" priority="493" operator="containsText" text="D">
      <formula>NOT(ISERROR(SEARCH("D",Q65)))</formula>
    </cfRule>
    <cfRule type="containsText" dxfId="372" priority="494" operator="containsText" text="A">
      <formula>NOT(ISERROR(SEARCH("A",Q65)))</formula>
    </cfRule>
  </conditionalFormatting>
  <conditionalFormatting sqref="S67:S73">
    <cfRule type="containsText" dxfId="371" priority="491" operator="containsText" text="D">
      <formula>NOT(ISERROR(SEARCH("D",S67)))</formula>
    </cfRule>
    <cfRule type="containsText" dxfId="370" priority="492" operator="containsText" text="A">
      <formula>NOT(ISERROR(SEARCH("A",S67)))</formula>
    </cfRule>
  </conditionalFormatting>
  <conditionalFormatting sqref="U70:U76">
    <cfRule type="containsText" dxfId="369" priority="489" operator="containsText" text="D">
      <formula>NOT(ISERROR(SEARCH("D",U70)))</formula>
    </cfRule>
    <cfRule type="containsText" dxfId="368" priority="490" operator="containsText" text="A">
      <formula>NOT(ISERROR(SEARCH("A",U70)))</formula>
    </cfRule>
  </conditionalFormatting>
  <conditionalFormatting sqref="W72:W78">
    <cfRule type="containsText" dxfId="367" priority="487" operator="containsText" text="D">
      <formula>NOT(ISERROR(SEARCH("D",W72)))</formula>
    </cfRule>
    <cfRule type="containsText" dxfId="366" priority="488" operator="containsText" text="A">
      <formula>NOT(ISERROR(SEARCH("A",W72)))</formula>
    </cfRule>
  </conditionalFormatting>
  <conditionalFormatting sqref="Y74:Y80">
    <cfRule type="containsText" dxfId="365" priority="485" operator="containsText" text="D">
      <formula>NOT(ISERROR(SEARCH("D",Y74)))</formula>
    </cfRule>
    <cfRule type="containsText" dxfId="364" priority="486" operator="containsText" text="A">
      <formula>NOT(ISERROR(SEARCH("A",Y74)))</formula>
    </cfRule>
  </conditionalFormatting>
  <conditionalFormatting sqref="AA75:AA81">
    <cfRule type="containsText" dxfId="363" priority="483" operator="containsText" text="D">
      <formula>NOT(ISERROR(SEARCH("D",AA75)))</formula>
    </cfRule>
    <cfRule type="containsText" dxfId="362" priority="484" operator="containsText" text="A">
      <formula>NOT(ISERROR(SEARCH("A",AA75)))</formula>
    </cfRule>
  </conditionalFormatting>
  <conditionalFormatting sqref="AC76:AC82">
    <cfRule type="containsText" dxfId="361" priority="481" operator="containsText" text="D">
      <formula>NOT(ISERROR(SEARCH("D",AC76)))</formula>
    </cfRule>
    <cfRule type="containsText" dxfId="360" priority="482" operator="containsText" text="A">
      <formula>NOT(ISERROR(SEARCH("A",AC76)))</formula>
    </cfRule>
  </conditionalFormatting>
  <conditionalFormatting sqref="AE77:AE83">
    <cfRule type="containsText" dxfId="359" priority="479" operator="containsText" text="D">
      <formula>NOT(ISERROR(SEARCH("D",AE77)))</formula>
    </cfRule>
    <cfRule type="containsText" dxfId="358" priority="480" operator="containsText" text="A">
      <formula>NOT(ISERROR(SEARCH("A",AE77)))</formula>
    </cfRule>
  </conditionalFormatting>
  <conditionalFormatting sqref="L59:S63 L60:AF63 L61:AE64 U59:AE61 Z56:AA60 Z58:AE60">
    <cfRule type="containsText" dxfId="357" priority="477" operator="containsText" text="D">
      <formula>NOT(ISERROR(SEARCH("D",L56)))</formula>
    </cfRule>
    <cfRule type="containsText" dxfId="356" priority="478" operator="containsText" text="A">
      <formula>NOT(ISERROR(SEARCH("A",L56)))</formula>
    </cfRule>
  </conditionalFormatting>
  <conditionalFormatting sqref="AG93:AI93">
    <cfRule type="containsText" dxfId="355" priority="475" operator="containsText" text="D">
      <formula>NOT(ISERROR(SEARCH("D",AG93)))</formula>
    </cfRule>
    <cfRule type="containsText" dxfId="354" priority="476" operator="containsText" text="A">
      <formula>NOT(ISERROR(SEARCH("A",AG93)))</formula>
    </cfRule>
  </conditionalFormatting>
  <conditionalFormatting sqref="L93:AF93">
    <cfRule type="containsText" dxfId="353" priority="457" operator="containsText" text="D">
      <formula>NOT(ISERROR(SEARCH("D",L93)))</formula>
    </cfRule>
    <cfRule type="containsText" dxfId="352" priority="458" operator="containsText" text="A">
      <formula>NOT(ISERROR(SEARCH("A",L93)))</formula>
    </cfRule>
    <cfRule type="containsText" dxfId="351" priority="473" operator="containsText" text="D">
      <formula>NOT(ISERROR(SEARCH("D",L93)))</formula>
    </cfRule>
    <cfRule type="containsText" dxfId="350" priority="474" operator="containsText" text="A">
      <formula>NOT(ISERROR(SEARCH("A",L93)))</formula>
    </cfRule>
  </conditionalFormatting>
  <conditionalFormatting sqref="L94:X94">
    <cfRule type="containsText" dxfId="349" priority="203" operator="containsText" text="D">
      <formula>NOT(ISERROR(SEARCH("D",L94)))</formula>
    </cfRule>
    <cfRule type="containsText" dxfId="348" priority="204" operator="containsText" text="A">
      <formula>NOT(ISERROR(SEARCH("A",L94)))</formula>
    </cfRule>
    <cfRule type="containsText" dxfId="347" priority="217" operator="containsText" text="D">
      <formula>NOT(ISERROR(SEARCH("D",L94)))</formula>
    </cfRule>
    <cfRule type="containsText" dxfId="346" priority="218" operator="containsText" text="A">
      <formula>NOT(ISERROR(SEARCH("A",L94)))</formula>
    </cfRule>
    <cfRule type="containsText" dxfId="345" priority="387" operator="containsText" text="D">
      <formula>NOT(ISERROR(SEARCH("D",L94)))</formula>
    </cfRule>
    <cfRule type="containsText" dxfId="344" priority="388" operator="containsText" text="A">
      <formula>NOT(ISERROR(SEARCH("A",L94)))</formula>
    </cfRule>
    <cfRule type="containsText" dxfId="343" priority="455" operator="containsText" text="D">
      <formula>NOT(ISERROR(SEARCH("D",L94)))</formula>
    </cfRule>
    <cfRule type="containsText" dxfId="342" priority="456" operator="containsText" text="A">
      <formula>NOT(ISERROR(SEARCH("A",L94)))</formula>
    </cfRule>
    <cfRule type="containsText" dxfId="341" priority="471" operator="containsText" text="D">
      <formula>NOT(ISERROR(SEARCH("D",L94)))</formula>
    </cfRule>
    <cfRule type="containsText" dxfId="340" priority="472" operator="containsText" text="A">
      <formula>NOT(ISERROR(SEARCH("A",L94)))</formula>
    </cfRule>
  </conditionalFormatting>
  <conditionalFormatting sqref="AG95:AI95">
    <cfRule type="containsText" dxfId="339" priority="283" operator="containsText" text="D">
      <formula>NOT(ISERROR(SEARCH("D",AG95)))</formula>
    </cfRule>
    <cfRule type="containsText" dxfId="338" priority="284" operator="containsText" text="A">
      <formula>NOT(ISERROR(SEARCH("A",AG95)))</formula>
    </cfRule>
    <cfRule type="containsText" dxfId="337" priority="465" operator="containsText" text="D">
      <formula>NOT(ISERROR(SEARCH("D",AG95)))</formula>
    </cfRule>
    <cfRule type="containsText" dxfId="336" priority="466" operator="containsText" text="A">
      <formula>NOT(ISERROR(SEARCH("A",AG95)))</formula>
    </cfRule>
  </conditionalFormatting>
  <conditionalFormatting sqref="L95:AF95">
    <cfRule type="containsText" dxfId="335" priority="265" operator="containsText" text="D">
      <formula>NOT(ISERROR(SEARCH("D",L95)))</formula>
    </cfRule>
    <cfRule type="containsText" dxfId="334" priority="266" operator="containsText" text="A">
      <formula>NOT(ISERROR(SEARCH("A",L95)))</formula>
    </cfRule>
    <cfRule type="containsText" dxfId="333" priority="281" operator="containsText" text="D">
      <formula>NOT(ISERROR(SEARCH("D",L95)))</formula>
    </cfRule>
    <cfRule type="containsText" dxfId="332" priority="282" operator="containsText" text="A">
      <formula>NOT(ISERROR(SEARCH("A",L95)))</formula>
    </cfRule>
    <cfRule type="containsText" dxfId="331" priority="449" operator="containsText" text="D">
      <formula>NOT(ISERROR(SEARCH("D",L95)))</formula>
    </cfRule>
    <cfRule type="containsText" dxfId="330" priority="450" operator="containsText" text="A">
      <formula>NOT(ISERROR(SEARCH("A",L95)))</formula>
    </cfRule>
    <cfRule type="containsText" dxfId="329" priority="463" operator="containsText" text="D">
      <formula>NOT(ISERROR(SEARCH("D",L95)))</formula>
    </cfRule>
    <cfRule type="containsText" dxfId="328" priority="464" operator="containsText" text="A">
      <formula>NOT(ISERROR(SEARCH("A",L95)))</formula>
    </cfRule>
  </conditionalFormatting>
  <conditionalFormatting sqref="L84:W84">
    <cfRule type="containsText" dxfId="327" priority="179" operator="containsText" text="D">
      <formula>NOT(ISERROR(SEARCH("D",L84)))</formula>
    </cfRule>
    <cfRule type="containsText" dxfId="326" priority="180" operator="containsText" text="A">
      <formula>NOT(ISERROR(SEARCH("A",L84)))</formula>
    </cfRule>
    <cfRule type="containsText" dxfId="325" priority="191" operator="containsText" text="D">
      <formula>NOT(ISERROR(SEARCH("D",L84)))</formula>
    </cfRule>
    <cfRule type="containsText" dxfId="324" priority="192" operator="containsText" text="A">
      <formula>NOT(ISERROR(SEARCH("A",L84)))</formula>
    </cfRule>
    <cfRule type="containsText" dxfId="323" priority="207" operator="containsText" text="D">
      <formula>NOT(ISERROR(SEARCH("D",L84)))</formula>
    </cfRule>
    <cfRule type="containsText" dxfId="322" priority="208" operator="containsText" text="A">
      <formula>NOT(ISERROR(SEARCH("A",L84)))</formula>
    </cfRule>
    <cfRule type="containsText" dxfId="321" priority="245" operator="containsText" text="D">
      <formula>NOT(ISERROR(SEARCH("D",L84)))</formula>
    </cfRule>
    <cfRule type="containsText" dxfId="320" priority="246" operator="containsText" text="A">
      <formula>NOT(ISERROR(SEARCH("A",L84)))</formula>
    </cfRule>
    <cfRule type="containsText" dxfId="319" priority="259" operator="containsText" text="D">
      <formula>NOT(ISERROR(SEARCH("D",L84)))</formula>
    </cfRule>
    <cfRule type="containsText" dxfId="318" priority="260" operator="containsText" text="A">
      <formula>NOT(ISERROR(SEARCH("A",L84)))</formula>
    </cfRule>
    <cfRule type="containsText" dxfId="317" priority="275" operator="containsText" text="D">
      <formula>NOT(ISERROR(SEARCH("D",L84)))</formula>
    </cfRule>
    <cfRule type="containsText" dxfId="316" priority="276" operator="containsText" text="A">
      <formula>NOT(ISERROR(SEARCH("A",L84)))</formula>
    </cfRule>
    <cfRule type="containsText" dxfId="315" priority="289" operator="containsText" text="D">
      <formula>NOT(ISERROR(SEARCH("D",L84)))</formula>
    </cfRule>
    <cfRule type="containsText" dxfId="314" priority="290" operator="containsText" text="A">
      <formula>NOT(ISERROR(SEARCH("A",L84)))</formula>
    </cfRule>
    <cfRule type="containsText" dxfId="313" priority="431" operator="containsText" text="D">
      <formula>NOT(ISERROR(SEARCH("D",L84)))</formula>
    </cfRule>
    <cfRule type="containsText" dxfId="312" priority="432" operator="containsText" text="A">
      <formula>NOT(ISERROR(SEARCH("A",L84)))</formula>
    </cfRule>
    <cfRule type="containsText" dxfId="311" priority="443" operator="containsText" text="D">
      <formula>NOT(ISERROR(SEARCH("D",L84)))</formula>
    </cfRule>
    <cfRule type="containsText" dxfId="310" priority="444" operator="containsText" text="A">
      <formula>NOT(ISERROR(SEARCH("A",L84)))</formula>
    </cfRule>
    <cfRule type="containsText" dxfId="309" priority="459" operator="containsText" text="D">
      <formula>NOT(ISERROR(SEARCH("D",L84)))</formula>
    </cfRule>
    <cfRule type="containsText" dxfId="308" priority="460" operator="containsText" text="A">
      <formula>NOT(ISERROR(SEARCH("A",L84)))</formula>
    </cfRule>
  </conditionalFormatting>
  <conditionalFormatting sqref="L96:X96">
    <cfRule type="containsText" dxfId="307" priority="195" operator="containsText" text="D">
      <formula>NOT(ISERROR(SEARCH("D",L96)))</formula>
    </cfRule>
    <cfRule type="containsText" dxfId="306" priority="196" operator="containsText" text="A">
      <formula>NOT(ISERROR(SEARCH("A",L96)))</formula>
    </cfRule>
    <cfRule type="containsText" dxfId="305" priority="263" operator="containsText" text="D">
      <formula>NOT(ISERROR(SEARCH("D",L96)))</formula>
    </cfRule>
    <cfRule type="containsText" dxfId="304" priority="264" operator="containsText" text="A">
      <formula>NOT(ISERROR(SEARCH("A",L96)))</formula>
    </cfRule>
    <cfRule type="containsText" dxfId="303" priority="279" operator="containsText" text="D">
      <formula>NOT(ISERROR(SEARCH("D",L96)))</formula>
    </cfRule>
    <cfRule type="containsText" dxfId="302" priority="280" operator="containsText" text="A">
      <formula>NOT(ISERROR(SEARCH("A",L96)))</formula>
    </cfRule>
    <cfRule type="containsText" dxfId="301" priority="447" operator="containsText" text="D">
      <formula>NOT(ISERROR(SEARCH("D",L96)))</formula>
    </cfRule>
    <cfRule type="containsText" dxfId="300" priority="448" operator="containsText" text="A">
      <formula>NOT(ISERROR(SEARCH("A",L96)))</formula>
    </cfRule>
  </conditionalFormatting>
  <conditionalFormatting sqref="L96:AF96">
    <cfRule type="containsText" dxfId="299" priority="249" operator="containsText" text="D">
      <formula>NOT(ISERROR(SEARCH("D",L96)))</formula>
    </cfRule>
    <cfRule type="containsText" dxfId="298" priority="250" operator="containsText" text="A">
      <formula>NOT(ISERROR(SEARCH("A",L96)))</formula>
    </cfRule>
    <cfRule type="containsText" dxfId="297" priority="293" operator="containsText" text="D">
      <formula>NOT(ISERROR(SEARCH("D",L96)))</formula>
    </cfRule>
    <cfRule type="containsText" dxfId="296" priority="294" operator="containsText" text="A">
      <formula>NOT(ISERROR(SEARCH("A",L96)))</formula>
    </cfRule>
    <cfRule type="containsText" dxfId="295" priority="433" operator="containsText" text="D">
      <formula>NOT(ISERROR(SEARCH("D",L96)))</formula>
    </cfRule>
    <cfRule type="containsText" dxfId="294" priority="434" operator="containsText" text="A">
      <formula>NOT(ISERROR(SEARCH("A",L96)))</formula>
    </cfRule>
  </conditionalFormatting>
  <conditionalFormatting sqref="L85:W85">
    <cfRule type="containsText" dxfId="293" priority="177" operator="containsText" text="D">
      <formula>NOT(ISERROR(SEARCH("D",L85)))</formula>
    </cfRule>
    <cfRule type="containsText" dxfId="292" priority="178" operator="containsText" text="A">
      <formula>NOT(ISERROR(SEARCH("A",L85)))</formula>
    </cfRule>
    <cfRule type="containsText" dxfId="291" priority="243" operator="containsText" text="D">
      <formula>NOT(ISERROR(SEARCH("D",L85)))</formula>
    </cfRule>
    <cfRule type="containsText" dxfId="290" priority="244" operator="containsText" text="A">
      <formula>NOT(ISERROR(SEARCH("A",L85)))</formula>
    </cfRule>
    <cfRule type="containsText" dxfId="289" priority="253" operator="containsText" text="D">
      <formula>NOT(ISERROR(SEARCH("D",L85)))</formula>
    </cfRule>
    <cfRule type="containsText" dxfId="288" priority="254" operator="containsText" text="A">
      <formula>NOT(ISERROR(SEARCH("A",L85)))</formula>
    </cfRule>
    <cfRule type="containsText" dxfId="287" priority="269" operator="containsText" text="D">
      <formula>NOT(ISERROR(SEARCH("D",L85)))</formula>
    </cfRule>
    <cfRule type="containsText" dxfId="286" priority="270" operator="containsText" text="A">
      <formula>NOT(ISERROR(SEARCH("A",L85)))</formula>
    </cfRule>
    <cfRule type="containsText" dxfId="285" priority="287" operator="containsText" text="D">
      <formula>NOT(ISERROR(SEARCH("D",L85)))</formula>
    </cfRule>
    <cfRule type="containsText" dxfId="284" priority="288" operator="containsText" text="A">
      <formula>NOT(ISERROR(SEARCH("A",L85)))</formula>
    </cfRule>
    <cfRule type="containsText" dxfId="283" priority="429" operator="containsText" text="D">
      <formula>NOT(ISERROR(SEARCH("D",L85)))</formula>
    </cfRule>
    <cfRule type="containsText" dxfId="282" priority="430" operator="containsText" text="A">
      <formula>NOT(ISERROR(SEARCH("A",L85)))</formula>
    </cfRule>
  </conditionalFormatting>
  <conditionalFormatting sqref="L90:AE90">
    <cfRule type="containsText" dxfId="281" priority="427" operator="containsText" text="D">
      <formula>NOT(ISERROR(SEARCH("D",L90)))</formula>
    </cfRule>
    <cfRule type="containsText" dxfId="280" priority="428" operator="containsText" text="A">
      <formula>NOT(ISERROR(SEARCH("A",L90)))</formula>
    </cfRule>
  </conditionalFormatting>
  <conditionalFormatting sqref="L91:X91">
    <cfRule type="containsText" dxfId="279" priority="425" operator="containsText" text="D">
      <formula>NOT(ISERROR(SEARCH("D",L91)))</formula>
    </cfRule>
    <cfRule type="containsText" dxfId="278" priority="426" operator="containsText" text="A">
      <formula>NOT(ISERROR(SEARCH("A",L91)))</formula>
    </cfRule>
  </conditionalFormatting>
  <conditionalFormatting sqref="L78:W78">
    <cfRule type="containsText" dxfId="277" priority="423" operator="containsText" text="D">
      <formula>NOT(ISERROR(SEARCH("D",L78)))</formula>
    </cfRule>
    <cfRule type="containsText" dxfId="276" priority="424" operator="containsText" text="A">
      <formula>NOT(ISERROR(SEARCH("A",L78)))</formula>
    </cfRule>
  </conditionalFormatting>
  <conditionalFormatting sqref="L79:W79">
    <cfRule type="containsText" dxfId="275" priority="393" operator="containsText" text="D">
      <formula>NOT(ISERROR(SEARCH("D",L79)))</formula>
    </cfRule>
    <cfRule type="containsText" dxfId="274" priority="394" operator="containsText" text="A">
      <formula>NOT(ISERROR(SEARCH("A",L79)))</formula>
    </cfRule>
    <cfRule type="containsText" dxfId="273" priority="407" operator="containsText" text="D">
      <formula>NOT(ISERROR(SEARCH("D",L79)))</formula>
    </cfRule>
    <cfRule type="containsText" dxfId="272" priority="408" operator="containsText" text="A">
      <formula>NOT(ISERROR(SEARCH("A",L79)))</formula>
    </cfRule>
    <cfRule type="containsText" dxfId="271" priority="421" operator="containsText" text="D">
      <formula>NOT(ISERROR(SEARCH("D",L79)))</formula>
    </cfRule>
    <cfRule type="containsText" dxfId="270" priority="422" operator="containsText" text="A">
      <formula>NOT(ISERROR(SEARCH("A",L79)))</formula>
    </cfRule>
  </conditionalFormatting>
  <conditionalFormatting sqref="L92:AE92">
    <cfRule type="containsText" dxfId="269" priority="235" operator="containsText" text="D">
      <formula>NOT(ISERROR(SEARCH("D",L92)))</formula>
    </cfRule>
    <cfRule type="containsText" dxfId="268" priority="236" operator="containsText" text="A">
      <formula>NOT(ISERROR(SEARCH("A",L92)))</formula>
    </cfRule>
    <cfRule type="containsText" dxfId="267" priority="381" operator="containsText" text="D">
      <formula>NOT(ISERROR(SEARCH("D",L92)))</formula>
    </cfRule>
    <cfRule type="containsText" dxfId="266" priority="382" operator="containsText" text="A">
      <formula>NOT(ISERROR(SEARCH("A",L92)))</formula>
    </cfRule>
    <cfRule type="containsText" dxfId="265" priority="419" operator="containsText" text="D">
      <formula>NOT(ISERROR(SEARCH("D",L92)))</formula>
    </cfRule>
    <cfRule type="containsText" dxfId="264" priority="420" operator="containsText" text="A">
      <formula>NOT(ISERROR(SEARCH("A",L92)))</formula>
    </cfRule>
  </conditionalFormatting>
  <conditionalFormatting sqref="L91:AE91">
    <cfRule type="containsText" dxfId="263" priority="397" operator="containsText" text="D">
      <formula>NOT(ISERROR(SEARCH("D",L91)))</formula>
    </cfRule>
    <cfRule type="containsText" dxfId="262" priority="398" operator="containsText" text="A">
      <formula>NOT(ISERROR(SEARCH("A",L91)))</formula>
    </cfRule>
    <cfRule type="containsText" dxfId="261" priority="411" operator="containsText" text="D">
      <formula>NOT(ISERROR(SEARCH("D",L91)))</formula>
    </cfRule>
    <cfRule type="containsText" dxfId="260" priority="412" operator="containsText" text="A">
      <formula>NOT(ISERROR(SEARCH("A",L91)))</formula>
    </cfRule>
  </conditionalFormatting>
  <conditionalFormatting sqref="L92:X92">
    <cfRule type="containsText" dxfId="259" priority="395" operator="containsText" text="D">
      <formula>NOT(ISERROR(SEARCH("D",L92)))</formula>
    </cfRule>
    <cfRule type="containsText" dxfId="258" priority="396" operator="containsText" text="A">
      <formula>NOT(ISERROR(SEARCH("A",L92)))</formula>
    </cfRule>
    <cfRule type="containsText" dxfId="257" priority="409" operator="containsText" text="D">
      <formula>NOT(ISERROR(SEARCH("D",L92)))</formula>
    </cfRule>
    <cfRule type="containsText" dxfId="256" priority="410" operator="containsText" text="A">
      <formula>NOT(ISERROR(SEARCH("A",L92)))</formula>
    </cfRule>
  </conditionalFormatting>
  <conditionalFormatting sqref="L93:AE93">
    <cfRule type="containsText" dxfId="255" priority="205" operator="containsText" text="D">
      <formula>NOT(ISERROR(SEARCH("D",L93)))</formula>
    </cfRule>
    <cfRule type="containsText" dxfId="254" priority="206" operator="containsText" text="A">
      <formula>NOT(ISERROR(SEARCH("A",L93)))</formula>
    </cfRule>
    <cfRule type="containsText" dxfId="253" priority="219" operator="containsText" text="D">
      <formula>NOT(ISERROR(SEARCH("D",L93)))</formula>
    </cfRule>
    <cfRule type="containsText" dxfId="252" priority="220" operator="containsText" text="A">
      <formula>NOT(ISERROR(SEARCH("A",L93)))</formula>
    </cfRule>
    <cfRule type="containsText" dxfId="251" priority="389" operator="containsText" text="D">
      <formula>NOT(ISERROR(SEARCH("D",L93)))</formula>
    </cfRule>
    <cfRule type="containsText" dxfId="250" priority="390" operator="containsText" text="A">
      <formula>NOT(ISERROR(SEARCH("A",L93)))</formula>
    </cfRule>
    <cfRule type="containsText" dxfId="249" priority="403" operator="containsText" text="D">
      <formula>NOT(ISERROR(SEARCH("D",L93)))</formula>
    </cfRule>
    <cfRule type="containsText" dxfId="248" priority="404" operator="containsText" text="A">
      <formula>NOT(ISERROR(SEARCH("A",L93)))</formula>
    </cfRule>
  </conditionalFormatting>
  <conditionalFormatting sqref="L94:AE94">
    <cfRule type="containsText" dxfId="247" priority="189" operator="containsText" text="D">
      <formula>NOT(ISERROR(SEARCH("D",L94)))</formula>
    </cfRule>
    <cfRule type="containsText" dxfId="246" priority="190" operator="containsText" text="A">
      <formula>NOT(ISERROR(SEARCH("A",L94)))</formula>
    </cfRule>
    <cfRule type="containsText" dxfId="245" priority="227" operator="containsText" text="D">
      <formula>NOT(ISERROR(SEARCH("D",L94)))</formula>
    </cfRule>
    <cfRule type="containsText" dxfId="244" priority="228" operator="containsText" text="A">
      <formula>NOT(ISERROR(SEARCH("A",L94)))</formula>
    </cfRule>
    <cfRule type="containsText" dxfId="243" priority="373" operator="containsText" text="D">
      <formula>NOT(ISERROR(SEARCH("D",L94)))</formula>
    </cfRule>
    <cfRule type="containsText" dxfId="242" priority="374" operator="containsText" text="A">
      <formula>NOT(ISERROR(SEARCH("A",L94)))</formula>
    </cfRule>
  </conditionalFormatting>
  <conditionalFormatting sqref="U72">
    <cfRule type="containsText" dxfId="241" priority="365" operator="containsText" text="D">
      <formula>NOT(ISERROR(SEARCH("D",U72)))</formula>
    </cfRule>
    <cfRule type="containsText" dxfId="240" priority="366" operator="containsText" text="A">
      <formula>NOT(ISERROR(SEARCH("A",U72)))</formula>
    </cfRule>
    <cfRule type="containsText" dxfId="239" priority="367" operator="containsText" text="D">
      <formula>NOT(ISERROR(SEARCH("D",U72)))</formula>
    </cfRule>
    <cfRule type="containsText" dxfId="238" priority="368" operator="containsText" text="A">
      <formula>NOT(ISERROR(SEARCH("A",U72)))</formula>
    </cfRule>
  </conditionalFormatting>
  <conditionalFormatting sqref="W74">
    <cfRule type="containsText" dxfId="237" priority="361" operator="containsText" text="D">
      <formula>NOT(ISERROR(SEARCH("D",W74)))</formula>
    </cfRule>
    <cfRule type="containsText" dxfId="236" priority="362" operator="containsText" text="A">
      <formula>NOT(ISERROR(SEARCH("A",W74)))</formula>
    </cfRule>
    <cfRule type="containsText" dxfId="235" priority="363" operator="containsText" text="D">
      <formula>NOT(ISERROR(SEARCH("D",W74)))</formula>
    </cfRule>
    <cfRule type="containsText" dxfId="234" priority="364" operator="containsText" text="A">
      <formula>NOT(ISERROR(SEARCH("A",W74)))</formula>
    </cfRule>
  </conditionalFormatting>
  <conditionalFormatting sqref="Y76">
    <cfRule type="containsText" dxfId="233" priority="357" operator="containsText" text="D">
      <formula>NOT(ISERROR(SEARCH("D",Y76)))</formula>
    </cfRule>
    <cfRule type="containsText" dxfId="232" priority="358" operator="containsText" text="A">
      <formula>NOT(ISERROR(SEARCH("A",Y76)))</formula>
    </cfRule>
    <cfRule type="containsText" dxfId="231" priority="359" operator="containsText" text="D">
      <formula>NOT(ISERROR(SEARCH("D",Y76)))</formula>
    </cfRule>
    <cfRule type="containsText" dxfId="230" priority="360" operator="containsText" text="A">
      <formula>NOT(ISERROR(SEARCH("A",Y76)))</formula>
    </cfRule>
  </conditionalFormatting>
  <conditionalFormatting sqref="Z66:Z68">
    <cfRule type="containsText" dxfId="229" priority="349" operator="containsText" text="D">
      <formula>NOT(ISERROR(SEARCH("D",Z66)))</formula>
    </cfRule>
    <cfRule type="containsText" dxfId="228" priority="350" operator="containsText" text="A">
      <formula>NOT(ISERROR(SEARCH("A",Z66)))</formula>
    </cfRule>
    <cfRule type="containsText" dxfId="227" priority="351" operator="containsText" text="D">
      <formula>NOT(ISERROR(SEARCH("D",Z66)))</formula>
    </cfRule>
    <cfRule type="containsText" dxfId="226" priority="352" operator="containsText" text="A">
      <formula>NOT(ISERROR(SEARCH("A",Z66)))</formula>
    </cfRule>
    <cfRule type="containsText" dxfId="225" priority="353" operator="containsText" text="D">
      <formula>NOT(ISERROR(SEARCH("D",Z66)))</formula>
    </cfRule>
    <cfRule type="containsText" dxfId="224" priority="354" operator="containsText" text="A">
      <formula>NOT(ISERROR(SEARCH("A",Z66)))</formula>
    </cfRule>
    <cfRule type="containsText" dxfId="223" priority="355" operator="containsText" text="D">
      <formula>NOT(ISERROR(SEARCH("D",Z66)))</formula>
    </cfRule>
    <cfRule type="containsText" dxfId="222" priority="356" operator="containsText" text="A">
      <formula>NOT(ISERROR(SEARCH("A",Z66)))</formula>
    </cfRule>
  </conditionalFormatting>
  <conditionalFormatting sqref="AA68:AA69">
    <cfRule type="containsText" dxfId="221" priority="341" operator="containsText" text="D">
      <formula>NOT(ISERROR(SEARCH("D",AA68)))</formula>
    </cfRule>
    <cfRule type="containsText" dxfId="220" priority="342" operator="containsText" text="A">
      <formula>NOT(ISERROR(SEARCH("A",AA68)))</formula>
    </cfRule>
    <cfRule type="containsText" dxfId="219" priority="343" operator="containsText" text="D">
      <formula>NOT(ISERROR(SEARCH("D",AA68)))</formula>
    </cfRule>
    <cfRule type="containsText" dxfId="218" priority="344" operator="containsText" text="A">
      <formula>NOT(ISERROR(SEARCH("A",AA68)))</formula>
    </cfRule>
    <cfRule type="containsText" dxfId="217" priority="345" operator="containsText" text="D">
      <formula>NOT(ISERROR(SEARCH("D",AA68)))</formula>
    </cfRule>
    <cfRule type="containsText" dxfId="216" priority="346" operator="containsText" text="A">
      <formula>NOT(ISERROR(SEARCH("A",AA68)))</formula>
    </cfRule>
    <cfRule type="containsText" dxfId="215" priority="347" operator="containsText" text="D">
      <formula>NOT(ISERROR(SEARCH("D",AA68)))</formula>
    </cfRule>
    <cfRule type="containsText" dxfId="214" priority="348" operator="containsText" text="A">
      <formula>NOT(ISERROR(SEARCH("A",AA68)))</formula>
    </cfRule>
  </conditionalFormatting>
  <conditionalFormatting sqref="AB71:AB72">
    <cfRule type="containsText" dxfId="213" priority="333" operator="containsText" text="D">
      <formula>NOT(ISERROR(SEARCH("D",AB71)))</formula>
    </cfRule>
    <cfRule type="containsText" dxfId="212" priority="334" operator="containsText" text="A">
      <formula>NOT(ISERROR(SEARCH("A",AB71)))</formula>
    </cfRule>
    <cfRule type="containsText" dxfId="211" priority="335" operator="containsText" text="D">
      <formula>NOT(ISERROR(SEARCH("D",AB71)))</formula>
    </cfRule>
    <cfRule type="containsText" dxfId="210" priority="336" operator="containsText" text="A">
      <formula>NOT(ISERROR(SEARCH("A",AB71)))</formula>
    </cfRule>
    <cfRule type="containsText" dxfId="209" priority="337" operator="containsText" text="D">
      <formula>NOT(ISERROR(SEARCH("D",AB71)))</formula>
    </cfRule>
    <cfRule type="containsText" dxfId="208" priority="338" operator="containsText" text="A">
      <formula>NOT(ISERROR(SEARCH("A",AB71)))</formula>
    </cfRule>
    <cfRule type="containsText" dxfId="207" priority="339" operator="containsText" text="D">
      <formula>NOT(ISERROR(SEARCH("D",AB71)))</formula>
    </cfRule>
    <cfRule type="containsText" dxfId="206" priority="340" operator="containsText" text="A">
      <formula>NOT(ISERROR(SEARCH("A",AB71)))</formula>
    </cfRule>
  </conditionalFormatting>
  <conditionalFormatting sqref="AC73">
    <cfRule type="containsText" dxfId="205" priority="325" operator="containsText" text="D">
      <formula>NOT(ISERROR(SEARCH("D",AC73)))</formula>
    </cfRule>
    <cfRule type="containsText" dxfId="204" priority="326" operator="containsText" text="A">
      <formula>NOT(ISERROR(SEARCH("A",AC73)))</formula>
    </cfRule>
    <cfRule type="containsText" dxfId="203" priority="327" operator="containsText" text="D">
      <formula>NOT(ISERROR(SEARCH("D",AC73)))</formula>
    </cfRule>
    <cfRule type="containsText" dxfId="202" priority="328" operator="containsText" text="A">
      <formula>NOT(ISERROR(SEARCH("A",AC73)))</formula>
    </cfRule>
    <cfRule type="containsText" dxfId="201" priority="329" operator="containsText" text="D">
      <formula>NOT(ISERROR(SEARCH("D",AC73)))</formula>
    </cfRule>
    <cfRule type="containsText" dxfId="200" priority="330" operator="containsText" text="A">
      <formula>NOT(ISERROR(SEARCH("A",AC73)))</formula>
    </cfRule>
    <cfRule type="containsText" dxfId="199" priority="331" operator="containsText" text="D">
      <formula>NOT(ISERROR(SEARCH("D",AC73)))</formula>
    </cfRule>
    <cfRule type="containsText" dxfId="198" priority="332" operator="containsText" text="A">
      <formula>NOT(ISERROR(SEARCH("A",AC73)))</formula>
    </cfRule>
  </conditionalFormatting>
  <conditionalFormatting sqref="T59:T61">
    <cfRule type="containsText" dxfId="197" priority="113" operator="containsText" text="D">
      <formula>NOT(ISERROR(SEARCH("D",T59)))</formula>
    </cfRule>
    <cfRule type="containsText" dxfId="196" priority="114" operator="containsText" text="A">
      <formula>NOT(ISERROR(SEARCH("A",T59)))</formula>
    </cfRule>
    <cfRule type="containsText" dxfId="195" priority="321" operator="containsText" text="D">
      <formula>NOT(ISERROR(SEARCH("D",T59)))</formula>
    </cfRule>
    <cfRule type="containsText" dxfId="194" priority="322" operator="containsText" text="A">
      <formula>NOT(ISERROR(SEARCH("A",T59)))</formula>
    </cfRule>
  </conditionalFormatting>
  <conditionalFormatting sqref="T60:T62">
    <cfRule type="containsText" dxfId="193" priority="319" operator="containsText" text="D">
      <formula>NOT(ISERROR(SEARCH("D",T60)))</formula>
    </cfRule>
    <cfRule type="containsText" dxfId="192" priority="320" operator="containsText" text="A">
      <formula>NOT(ISERROR(SEARCH("A",T60)))</formula>
    </cfRule>
  </conditionalFormatting>
  <conditionalFormatting sqref="T61:T63">
    <cfRule type="containsText" dxfId="191" priority="317" operator="containsText" text="D">
      <formula>NOT(ISERROR(SEARCH("D",T61)))</formula>
    </cfRule>
    <cfRule type="containsText" dxfId="190" priority="318" operator="containsText" text="A">
      <formula>NOT(ISERROR(SEARCH("A",T61)))</formula>
    </cfRule>
  </conditionalFormatting>
  <conditionalFormatting sqref="AR94:BB94">
    <cfRule type="containsText" dxfId="189" priority="313" operator="containsText" text="D">
      <formula>NOT(ISERROR(SEARCH("D",AR94)))</formula>
    </cfRule>
    <cfRule type="containsText" dxfId="188" priority="314" operator="containsText" text="A">
      <formula>NOT(ISERROR(SEARCH("A",AR94)))</formula>
    </cfRule>
  </conditionalFormatting>
  <conditionalFormatting sqref="AG64:AI64">
    <cfRule type="containsText" dxfId="187" priority="301" operator="containsText" text="D">
      <formula>NOT(ISERROR(SEARCH("D",AG64)))</formula>
    </cfRule>
    <cfRule type="containsText" dxfId="186" priority="302" operator="containsText" text="A">
      <formula>NOT(ISERROR(SEARCH("A",AG64)))</formula>
    </cfRule>
  </conditionalFormatting>
  <conditionalFormatting sqref="L64:AF64">
    <cfRule type="containsText" dxfId="185" priority="285" operator="containsText" text="D">
      <formula>NOT(ISERROR(SEARCH("D",L64)))</formula>
    </cfRule>
    <cfRule type="containsText" dxfId="184" priority="286" operator="containsText" text="A">
      <formula>NOT(ISERROR(SEARCH("A",L64)))</formula>
    </cfRule>
    <cfRule type="containsText" dxfId="183" priority="299" operator="containsText" text="D">
      <formula>NOT(ISERROR(SEARCH("D",L64)))</formula>
    </cfRule>
    <cfRule type="containsText" dxfId="182" priority="300" operator="containsText" text="A">
      <formula>NOT(ISERROR(SEARCH("A",L64)))</formula>
    </cfRule>
  </conditionalFormatting>
  <conditionalFormatting sqref="AR96:AV96">
    <cfRule type="containsText" dxfId="181" priority="297" operator="containsText" text="D">
      <formula>NOT(ISERROR(SEARCH("D",AR96)))</formula>
    </cfRule>
    <cfRule type="containsText" dxfId="180" priority="298" operator="containsText" text="A">
      <formula>NOT(ISERROR(SEARCH("A",AR96)))</formula>
    </cfRule>
  </conditionalFormatting>
  <conditionalFormatting sqref="AG96:AQ96">
    <cfRule type="containsText" dxfId="179" priority="295" operator="containsText" text="D">
      <formula>NOT(ISERROR(SEARCH("D",AG96)))</formula>
    </cfRule>
    <cfRule type="containsText" dxfId="178" priority="296" operator="containsText" text="A">
      <formula>NOT(ISERROR(SEARCH("A",AG96)))</formula>
    </cfRule>
  </conditionalFormatting>
  <conditionalFormatting sqref="L97:X97">
    <cfRule type="containsText" dxfId="177" priority="247" operator="containsText" text="D">
      <formula>NOT(ISERROR(SEARCH("D",L97)))</formula>
    </cfRule>
    <cfRule type="containsText" dxfId="176" priority="248" operator="containsText" text="A">
      <formula>NOT(ISERROR(SEARCH("A",L97)))</formula>
    </cfRule>
    <cfRule type="containsText" dxfId="175" priority="291" operator="containsText" text="D">
      <formula>NOT(ISERROR(SEARCH("D",L97)))</formula>
    </cfRule>
    <cfRule type="containsText" dxfId="174" priority="292" operator="containsText" text="A">
      <formula>NOT(ISERROR(SEARCH("A",L97)))</formula>
    </cfRule>
  </conditionalFormatting>
  <conditionalFormatting sqref="AG97:AI97">
    <cfRule type="containsText" dxfId="173" priority="273" operator="containsText" text="D">
      <formula>NOT(ISERROR(SEARCH("D",AG97)))</formula>
    </cfRule>
    <cfRule type="containsText" dxfId="172" priority="274" operator="containsText" text="A">
      <formula>NOT(ISERROR(SEARCH("A",AG97)))</formula>
    </cfRule>
  </conditionalFormatting>
  <conditionalFormatting sqref="L97:AF97">
    <cfRule type="containsText" dxfId="171" priority="257" operator="containsText" text="D">
      <formula>NOT(ISERROR(SEARCH("D",L97)))</formula>
    </cfRule>
    <cfRule type="containsText" dxfId="170" priority="258" operator="containsText" text="A">
      <formula>NOT(ISERROR(SEARCH("A",L97)))</formula>
    </cfRule>
    <cfRule type="containsText" dxfId="169" priority="271" operator="containsText" text="D">
      <formula>NOT(ISERROR(SEARCH("D",L97)))</formula>
    </cfRule>
    <cfRule type="containsText" dxfId="168" priority="272" operator="containsText" text="A">
      <formula>NOT(ISERROR(SEARCH("A",L97)))</formula>
    </cfRule>
  </conditionalFormatting>
  <conditionalFormatting sqref="L86:W86">
    <cfRule type="containsText" dxfId="167" priority="239" operator="containsText" text="D">
      <formula>NOT(ISERROR(SEARCH("D",L86)))</formula>
    </cfRule>
    <cfRule type="containsText" dxfId="166" priority="240" operator="containsText" text="A">
      <formula>NOT(ISERROR(SEARCH("A",L86)))</formula>
    </cfRule>
    <cfRule type="containsText" dxfId="165" priority="251" operator="containsText" text="D">
      <formula>NOT(ISERROR(SEARCH("D",L86)))</formula>
    </cfRule>
    <cfRule type="containsText" dxfId="164" priority="252" operator="containsText" text="A">
      <formula>NOT(ISERROR(SEARCH("A",L86)))</formula>
    </cfRule>
    <cfRule type="containsText" dxfId="163" priority="267" operator="containsText" text="D">
      <formula>NOT(ISERROR(SEARCH("D",L86)))</formula>
    </cfRule>
    <cfRule type="containsText" dxfId="162" priority="268" operator="containsText" text="A">
      <formula>NOT(ISERROR(SEARCH("A",L86)))</formula>
    </cfRule>
  </conditionalFormatting>
  <conditionalFormatting sqref="L98:X98">
    <cfRule type="containsText" dxfId="161" priority="255" operator="containsText" text="D">
      <formula>NOT(ISERROR(SEARCH("D",L98)))</formula>
    </cfRule>
    <cfRule type="containsText" dxfId="160" priority="256" operator="containsText" text="A">
      <formula>NOT(ISERROR(SEARCH("A",L98)))</formula>
    </cfRule>
  </conditionalFormatting>
  <conditionalFormatting sqref="L98:AF98">
    <cfRule type="containsText" dxfId="159" priority="241" operator="containsText" text="D">
      <formula>NOT(ISERROR(SEARCH("D",L98)))</formula>
    </cfRule>
    <cfRule type="containsText" dxfId="158" priority="242" operator="containsText" text="A">
      <formula>NOT(ISERROR(SEARCH("A",L98)))</formula>
    </cfRule>
  </conditionalFormatting>
  <conditionalFormatting sqref="L87:W87">
    <cfRule type="containsText" dxfId="157" priority="237" operator="containsText" text="D">
      <formula>NOT(ISERROR(SEARCH("D",L87)))</formula>
    </cfRule>
    <cfRule type="containsText" dxfId="156" priority="238" operator="containsText" text="A">
      <formula>NOT(ISERROR(SEARCH("A",L87)))</formula>
    </cfRule>
  </conditionalFormatting>
  <conditionalFormatting sqref="L95:AE95">
    <cfRule type="containsText" dxfId="155" priority="197" operator="containsText" text="D">
      <formula>NOT(ISERROR(SEARCH("D",L95)))</formula>
    </cfRule>
    <cfRule type="containsText" dxfId="154" priority="198" operator="containsText" text="A">
      <formula>NOT(ISERROR(SEARCH("A",L95)))</formula>
    </cfRule>
    <cfRule type="containsText" dxfId="153" priority="211" operator="containsText" text="D">
      <formula>NOT(ISERROR(SEARCH("D",L95)))</formula>
    </cfRule>
    <cfRule type="containsText" dxfId="152" priority="212" operator="containsText" text="A">
      <formula>NOT(ISERROR(SEARCH("A",L95)))</formula>
    </cfRule>
  </conditionalFormatting>
  <conditionalFormatting sqref="L96:AE96">
    <cfRule type="containsText" dxfId="151" priority="181" operator="containsText" text="D">
      <formula>NOT(ISERROR(SEARCH("D",L96)))</formula>
    </cfRule>
    <cfRule type="containsText" dxfId="150" priority="182" operator="containsText" text="A">
      <formula>NOT(ISERROR(SEARCH("A",L96)))</formula>
    </cfRule>
  </conditionalFormatting>
  <conditionalFormatting sqref="U74">
    <cfRule type="containsText" dxfId="149" priority="173" operator="containsText" text="D">
      <formula>NOT(ISERROR(SEARCH("D",U74)))</formula>
    </cfRule>
    <cfRule type="containsText" dxfId="148" priority="174" operator="containsText" text="A">
      <formula>NOT(ISERROR(SEARCH("A",U74)))</formula>
    </cfRule>
    <cfRule type="containsText" dxfId="147" priority="175" operator="containsText" text="D">
      <formula>NOT(ISERROR(SEARCH("D",U74)))</formula>
    </cfRule>
    <cfRule type="containsText" dxfId="146" priority="176" operator="containsText" text="A">
      <formula>NOT(ISERROR(SEARCH("A",U74)))</formula>
    </cfRule>
  </conditionalFormatting>
  <conditionalFormatting sqref="W76">
    <cfRule type="containsText" dxfId="145" priority="169" operator="containsText" text="D">
      <formula>NOT(ISERROR(SEARCH("D",W76)))</formula>
    </cfRule>
    <cfRule type="containsText" dxfId="144" priority="170" operator="containsText" text="A">
      <formula>NOT(ISERROR(SEARCH("A",W76)))</formula>
    </cfRule>
    <cfRule type="containsText" dxfId="143" priority="171" operator="containsText" text="D">
      <formula>NOT(ISERROR(SEARCH("D",W76)))</formula>
    </cfRule>
    <cfRule type="containsText" dxfId="142" priority="172" operator="containsText" text="A">
      <formula>NOT(ISERROR(SEARCH("A",W76)))</formula>
    </cfRule>
  </conditionalFormatting>
  <conditionalFormatting sqref="Y78">
    <cfRule type="containsText" dxfId="141" priority="165" operator="containsText" text="D">
      <formula>NOT(ISERROR(SEARCH("D",Y78)))</formula>
    </cfRule>
    <cfRule type="containsText" dxfId="140" priority="166" operator="containsText" text="A">
      <formula>NOT(ISERROR(SEARCH("A",Y78)))</formula>
    </cfRule>
    <cfRule type="containsText" dxfId="139" priority="167" operator="containsText" text="D">
      <formula>NOT(ISERROR(SEARCH("D",Y78)))</formula>
    </cfRule>
    <cfRule type="containsText" dxfId="138" priority="168" operator="containsText" text="A">
      <formula>NOT(ISERROR(SEARCH("A",Y78)))</formula>
    </cfRule>
  </conditionalFormatting>
  <conditionalFormatting sqref="Z68:Z69">
    <cfRule type="containsText" dxfId="137" priority="157" operator="containsText" text="D">
      <formula>NOT(ISERROR(SEARCH("D",Z68)))</formula>
    </cfRule>
    <cfRule type="containsText" dxfId="136" priority="158" operator="containsText" text="A">
      <formula>NOT(ISERROR(SEARCH("A",Z68)))</formula>
    </cfRule>
    <cfRule type="containsText" dxfId="135" priority="159" operator="containsText" text="D">
      <formula>NOT(ISERROR(SEARCH("D",Z68)))</formula>
    </cfRule>
    <cfRule type="containsText" dxfId="134" priority="160" operator="containsText" text="A">
      <formula>NOT(ISERROR(SEARCH("A",Z68)))</formula>
    </cfRule>
    <cfRule type="containsText" dxfId="133" priority="161" operator="containsText" text="D">
      <formula>NOT(ISERROR(SEARCH("D",Z68)))</formula>
    </cfRule>
    <cfRule type="containsText" dxfId="132" priority="162" operator="containsText" text="A">
      <formula>NOT(ISERROR(SEARCH("A",Z68)))</formula>
    </cfRule>
    <cfRule type="containsText" dxfId="131" priority="163" operator="containsText" text="D">
      <formula>NOT(ISERROR(SEARCH("D",Z68)))</formula>
    </cfRule>
    <cfRule type="containsText" dxfId="130" priority="164" operator="containsText" text="A">
      <formula>NOT(ISERROR(SEARCH("A",Z68)))</formula>
    </cfRule>
  </conditionalFormatting>
  <conditionalFormatting sqref="AA70:AA71">
    <cfRule type="containsText" dxfId="129" priority="149" operator="containsText" text="D">
      <formula>NOT(ISERROR(SEARCH("D",AA70)))</formula>
    </cfRule>
    <cfRule type="containsText" dxfId="128" priority="150" operator="containsText" text="A">
      <formula>NOT(ISERROR(SEARCH("A",AA70)))</formula>
    </cfRule>
    <cfRule type="containsText" dxfId="127" priority="151" operator="containsText" text="D">
      <formula>NOT(ISERROR(SEARCH("D",AA70)))</formula>
    </cfRule>
    <cfRule type="containsText" dxfId="126" priority="152" operator="containsText" text="A">
      <formula>NOT(ISERROR(SEARCH("A",AA70)))</formula>
    </cfRule>
    <cfRule type="containsText" dxfId="125" priority="153" operator="containsText" text="D">
      <formula>NOT(ISERROR(SEARCH("D",AA70)))</formula>
    </cfRule>
    <cfRule type="containsText" dxfId="124" priority="154" operator="containsText" text="A">
      <formula>NOT(ISERROR(SEARCH("A",AA70)))</formula>
    </cfRule>
    <cfRule type="containsText" dxfId="123" priority="155" operator="containsText" text="D">
      <formula>NOT(ISERROR(SEARCH("D",AA70)))</formula>
    </cfRule>
    <cfRule type="containsText" dxfId="122" priority="156" operator="containsText" text="A">
      <formula>NOT(ISERROR(SEARCH("A",AA70)))</formula>
    </cfRule>
  </conditionalFormatting>
  <conditionalFormatting sqref="AB73">
    <cfRule type="containsText" dxfId="121" priority="141" operator="containsText" text="D">
      <formula>NOT(ISERROR(SEARCH("D",AB73)))</formula>
    </cfRule>
    <cfRule type="containsText" dxfId="120" priority="142" operator="containsText" text="A">
      <formula>NOT(ISERROR(SEARCH("A",AB73)))</formula>
    </cfRule>
    <cfRule type="containsText" dxfId="119" priority="143" operator="containsText" text="D">
      <formula>NOT(ISERROR(SEARCH("D",AB73)))</formula>
    </cfRule>
    <cfRule type="containsText" dxfId="118" priority="144" operator="containsText" text="A">
      <formula>NOT(ISERROR(SEARCH("A",AB73)))</formula>
    </cfRule>
    <cfRule type="containsText" dxfId="117" priority="145" operator="containsText" text="D">
      <formula>NOT(ISERROR(SEARCH("D",AB73)))</formula>
    </cfRule>
    <cfRule type="containsText" dxfId="116" priority="146" operator="containsText" text="A">
      <formula>NOT(ISERROR(SEARCH("A",AB73)))</formula>
    </cfRule>
    <cfRule type="containsText" dxfId="115" priority="147" operator="containsText" text="D">
      <formula>NOT(ISERROR(SEARCH("D",AB73)))</formula>
    </cfRule>
    <cfRule type="containsText" dxfId="114" priority="148" operator="containsText" text="A">
      <formula>NOT(ISERROR(SEARCH("A",AB73)))</formula>
    </cfRule>
  </conditionalFormatting>
  <conditionalFormatting sqref="AC75">
    <cfRule type="containsText" dxfId="113" priority="133" operator="containsText" text="D">
      <formula>NOT(ISERROR(SEARCH("D",AC75)))</formula>
    </cfRule>
    <cfRule type="containsText" dxfId="112" priority="134" operator="containsText" text="A">
      <formula>NOT(ISERROR(SEARCH("A",AC75)))</formula>
    </cfRule>
    <cfRule type="containsText" dxfId="111" priority="135" operator="containsText" text="D">
      <formula>NOT(ISERROR(SEARCH("D",AC75)))</formula>
    </cfRule>
    <cfRule type="containsText" dxfId="110" priority="136" operator="containsText" text="A">
      <formula>NOT(ISERROR(SEARCH("A",AC75)))</formula>
    </cfRule>
    <cfRule type="containsText" dxfId="109" priority="137" operator="containsText" text="D">
      <formula>NOT(ISERROR(SEARCH("D",AC75)))</formula>
    </cfRule>
    <cfRule type="containsText" dxfId="108" priority="138" operator="containsText" text="A">
      <formula>NOT(ISERROR(SEARCH("A",AC75)))</formula>
    </cfRule>
    <cfRule type="containsText" dxfId="107" priority="139" operator="containsText" text="D">
      <formula>NOT(ISERROR(SEARCH("D",AC75)))</formula>
    </cfRule>
    <cfRule type="containsText" dxfId="106" priority="140" operator="containsText" text="A">
      <formula>NOT(ISERROR(SEARCH("A",AC75)))</formula>
    </cfRule>
  </conditionalFormatting>
  <conditionalFormatting sqref="L62:AA62">
    <cfRule type="containsText" dxfId="105" priority="107" operator="containsText" text="D">
      <formula>NOT(ISERROR(SEARCH("D",L62)))</formula>
    </cfRule>
    <cfRule type="containsText" dxfId="104" priority="108" operator="containsText" text="A">
      <formula>NOT(ISERROR(SEARCH("A",L62)))</formula>
    </cfRule>
    <cfRule type="containsText" dxfId="103" priority="109" operator="containsText" text="D">
      <formula>NOT(ISERROR(SEARCH("D",L62)))</formula>
    </cfRule>
    <cfRule type="containsText" dxfId="102" priority="110" operator="containsText" text="A">
      <formula>NOT(ISERROR(SEARCH("A",L62)))</formula>
    </cfRule>
  </conditionalFormatting>
  <conditionalFormatting sqref="L58:S58 U58:Y58">
    <cfRule type="containsText" dxfId="101" priority="101" operator="containsText" text="D">
      <formula>NOT(ISERROR(SEARCH("D",L58)))</formula>
    </cfRule>
    <cfRule type="containsText" dxfId="100" priority="102" operator="containsText" text="A">
      <formula>NOT(ISERROR(SEARCH("A",L58)))</formula>
    </cfRule>
  </conditionalFormatting>
  <conditionalFormatting sqref="L32:L41 L38:Y51 N32:Y41 Y46:Z51">
    <cfRule type="containsText" dxfId="99" priority="99" operator="containsText" text="D">
      <formula>NOT(ISERROR(SEARCH("D",L32)))</formula>
    </cfRule>
    <cfRule type="containsText" dxfId="98" priority="100" operator="containsText" text="A">
      <formula>NOT(ISERROR(SEARCH("A",L32)))</formula>
    </cfRule>
  </conditionalFormatting>
  <conditionalFormatting sqref="L40:Y44 L41:W45 X41:Y47 X44:X48 Y46:Y48 Y46:Z47">
    <cfRule type="containsText" dxfId="97" priority="97" operator="containsText" text="D">
      <formula>NOT(ISERROR(SEARCH("D",L40)))</formula>
    </cfRule>
    <cfRule type="containsText" dxfId="96" priority="98" operator="containsText" text="A">
      <formula>NOT(ISERROR(SEARCH("A",L40)))</formula>
    </cfRule>
  </conditionalFormatting>
  <conditionalFormatting sqref="Q47:Q51">
    <cfRule type="containsText" dxfId="95" priority="95" operator="containsText" text="D">
      <formula>NOT(ISERROR(SEARCH("D",Q47)))</formula>
    </cfRule>
    <cfRule type="containsText" dxfId="94" priority="96" operator="containsText" text="A">
      <formula>NOT(ISERROR(SEARCH("A",Q47)))</formula>
    </cfRule>
  </conditionalFormatting>
  <conditionalFormatting sqref="L23:R33 L31:Y35 T23:Y33">
    <cfRule type="containsText" dxfId="93" priority="93" operator="containsText" text="D">
      <formula>NOT(ISERROR(SEARCH("D",L23)))</formula>
    </cfRule>
    <cfRule type="containsText" dxfId="92" priority="94" operator="containsText" text="A">
      <formula>NOT(ISERROR(SEARCH("A",L23)))</formula>
    </cfRule>
  </conditionalFormatting>
  <conditionalFormatting sqref="L24:R31 T24:Y31">
    <cfRule type="containsText" dxfId="91" priority="91" operator="containsText" text="D">
      <formula>NOT(ISERROR(SEARCH("D",L24)))</formula>
    </cfRule>
    <cfRule type="containsText" dxfId="90" priority="92" operator="containsText" text="A">
      <formula>NOT(ISERROR(SEARCH("A",L24)))</formula>
    </cfRule>
  </conditionalFormatting>
  <conditionalFormatting sqref="L56:Y58 L57:S60 U57:Y60">
    <cfRule type="containsText" dxfId="89" priority="73" operator="containsText" text="D">
      <formula>NOT(ISERROR(SEARCH("D",L56)))</formula>
    </cfRule>
    <cfRule type="containsText" dxfId="88" priority="74" operator="containsText" text="A">
      <formula>NOT(ISERROR(SEARCH("A",L56)))</formula>
    </cfRule>
    <cfRule type="containsText" dxfId="87" priority="89" operator="containsText" text="D">
      <formula>NOT(ISERROR(SEARCH("D",L56)))</formula>
    </cfRule>
    <cfRule type="containsText" dxfId="86" priority="90" operator="containsText" text="A">
      <formula>NOT(ISERROR(SEARCH("A",L56)))</formula>
    </cfRule>
  </conditionalFormatting>
  <conditionalFormatting sqref="X56:Y60">
    <cfRule type="containsText" dxfId="85" priority="87" operator="containsText" text="D">
      <formula>NOT(ISERROR(SEARCH("D",X56)))</formula>
    </cfRule>
    <cfRule type="containsText" dxfId="84" priority="88" operator="containsText" text="A">
      <formula>NOT(ISERROR(SEARCH("A",X56)))</formula>
    </cfRule>
  </conditionalFormatting>
  <conditionalFormatting sqref="L46:Y58 L57:S60 U57:Y60 Y46:Z51">
    <cfRule type="containsText" dxfId="83" priority="85" operator="containsText" text="D">
      <formula>NOT(ISERROR(SEARCH("D",L46)))</formula>
    </cfRule>
    <cfRule type="containsText" dxfId="82" priority="86" operator="containsText" text="A">
      <formula>NOT(ISERROR(SEARCH("A",L46)))</formula>
    </cfRule>
  </conditionalFormatting>
  <conditionalFormatting sqref="L54:O57 L55:Y58 L57:S60 Q54:Y57 U57:Y60">
    <cfRule type="containsText" dxfId="81" priority="83" operator="containsText" text="D">
      <formula>NOT(ISERROR(SEARCH("D",L54)))</formula>
    </cfRule>
    <cfRule type="containsText" dxfId="80" priority="84" operator="containsText" text="A">
      <formula>NOT(ISERROR(SEARCH("A",L54)))</formula>
    </cfRule>
  </conditionalFormatting>
  <conditionalFormatting sqref="M32:M37">
    <cfRule type="containsText" dxfId="79" priority="81" operator="containsText" text="D">
      <formula>NOT(ISERROR(SEARCH("D",M32)))</formula>
    </cfRule>
    <cfRule type="containsText" dxfId="78" priority="82" operator="containsText" text="A">
      <formula>NOT(ISERROR(SEARCH("A",M32)))</formula>
    </cfRule>
  </conditionalFormatting>
  <conditionalFormatting sqref="M37:M41">
    <cfRule type="containsText" dxfId="77" priority="79" operator="containsText" text="D">
      <formula>NOT(ISERROR(SEARCH("D",M37)))</formula>
    </cfRule>
    <cfRule type="containsText" dxfId="76" priority="80" operator="containsText" text="A">
      <formula>NOT(ISERROR(SEARCH("A",M37)))</formula>
    </cfRule>
  </conditionalFormatting>
  <conditionalFormatting sqref="M36:M39">
    <cfRule type="containsText" dxfId="75" priority="77" operator="containsText" text="D">
      <formula>NOT(ISERROR(SEARCH("D",M36)))</formula>
    </cfRule>
    <cfRule type="containsText" dxfId="74" priority="78" operator="containsText" text="A">
      <formula>NOT(ISERROR(SEARCH("A",M36)))</formula>
    </cfRule>
  </conditionalFormatting>
  <conditionalFormatting sqref="M36:M40">
    <cfRule type="containsText" dxfId="73" priority="75" operator="containsText" text="D">
      <formula>NOT(ISERROR(SEARCH("D",M36)))</formula>
    </cfRule>
    <cfRule type="containsText" dxfId="72" priority="76" operator="containsText" text="A">
      <formula>NOT(ISERROR(SEARCH("A",M36)))</formula>
    </cfRule>
  </conditionalFormatting>
  <conditionalFormatting sqref="Q50:Q54">
    <cfRule type="containsText" dxfId="71" priority="71" operator="containsText" text="D">
      <formula>NOT(ISERROR(SEARCH("D",Q50)))</formula>
    </cfRule>
    <cfRule type="containsText" dxfId="70" priority="72" operator="containsText" text="A">
      <formula>NOT(ISERROR(SEARCH("A",Q50)))</formula>
    </cfRule>
  </conditionalFormatting>
  <conditionalFormatting sqref="T57:T59">
    <cfRule type="containsText" dxfId="69" priority="69" operator="containsText" text="D">
      <formula>NOT(ISERROR(SEARCH("D",T57)))</formula>
    </cfRule>
    <cfRule type="containsText" dxfId="68" priority="70" operator="containsText" text="A">
      <formula>NOT(ISERROR(SEARCH("A",T57)))</formula>
    </cfRule>
  </conditionalFormatting>
  <conditionalFormatting sqref="T58:T60">
    <cfRule type="containsText" dxfId="67" priority="67" operator="containsText" text="D">
      <formula>NOT(ISERROR(SEARCH("D",T58)))</formula>
    </cfRule>
    <cfRule type="containsText" dxfId="66" priority="68" operator="containsText" text="A">
      <formula>NOT(ISERROR(SEARCH("A",T58)))</formula>
    </cfRule>
  </conditionalFormatting>
  <conditionalFormatting sqref="Q51:Q55">
    <cfRule type="containsText" dxfId="65" priority="65" operator="containsText" text="D">
      <formula>NOT(ISERROR(SEARCH("D",Q51)))</formula>
    </cfRule>
    <cfRule type="containsText" dxfId="64" priority="66" operator="containsText" text="A">
      <formula>NOT(ISERROR(SEARCH("A",Q51)))</formula>
    </cfRule>
  </conditionalFormatting>
  <conditionalFormatting sqref="P54:P57">
    <cfRule type="containsText" dxfId="63" priority="63" operator="containsText" text="D">
      <formula>NOT(ISERROR(SEARCH("D",P54)))</formula>
    </cfRule>
    <cfRule type="containsText" dxfId="62" priority="64" operator="containsText" text="A">
      <formula>NOT(ISERROR(SEARCH("A",P54)))</formula>
    </cfRule>
  </conditionalFormatting>
  <conditionalFormatting sqref="W49:W53">
    <cfRule type="containsText" dxfId="61" priority="61" operator="containsText" text="D">
      <formula>NOT(ISERROR(SEARCH("D",W49)))</formula>
    </cfRule>
    <cfRule type="containsText" dxfId="60" priority="62" operator="containsText" text="A">
      <formula>NOT(ISERROR(SEARCH("A",W49)))</formula>
    </cfRule>
  </conditionalFormatting>
  <conditionalFormatting sqref="AA50:AA54">
    <cfRule type="containsText" dxfId="59" priority="57" operator="containsText" text="D">
      <formula>NOT(ISERROR(SEARCH("D",AA50)))</formula>
    </cfRule>
    <cfRule type="containsText" dxfId="58" priority="58" operator="containsText" text="A">
      <formula>NOT(ISERROR(SEARCH("A",AA50)))</formula>
    </cfRule>
    <cfRule type="containsText" dxfId="57" priority="59" operator="containsText" text="D">
      <formula>NOT(ISERROR(SEARCH("D",AA50)))</formula>
    </cfRule>
    <cfRule type="containsText" dxfId="56" priority="60" operator="containsText" text="A">
      <formula>NOT(ISERROR(SEARCH("A",AA50)))</formula>
    </cfRule>
  </conditionalFormatting>
  <conditionalFormatting sqref="AB51:AB55">
    <cfRule type="containsText" dxfId="55" priority="53" operator="containsText" text="D">
      <formula>NOT(ISERROR(SEARCH("D",AB51)))</formula>
    </cfRule>
    <cfRule type="containsText" dxfId="54" priority="54" operator="containsText" text="A">
      <formula>NOT(ISERROR(SEARCH("A",AB51)))</formula>
    </cfRule>
    <cfRule type="containsText" dxfId="53" priority="55" operator="containsText" text="D">
      <formula>NOT(ISERROR(SEARCH("D",AB51)))</formula>
    </cfRule>
    <cfRule type="containsText" dxfId="52" priority="56" operator="containsText" text="A">
      <formula>NOT(ISERROR(SEARCH("A",AB51)))</formula>
    </cfRule>
  </conditionalFormatting>
  <conditionalFormatting sqref="AC22:AC24">
    <cfRule type="containsText" dxfId="51" priority="51" operator="containsText" text="D">
      <formula>NOT(ISERROR(SEARCH("D",AC22)))</formula>
    </cfRule>
    <cfRule type="containsText" dxfId="50" priority="52" operator="containsText" text="A">
      <formula>NOT(ISERROR(SEARCH("A",AC22)))</formula>
    </cfRule>
  </conditionalFormatting>
  <conditionalFormatting sqref="AD52:AD54">
    <cfRule type="containsText" dxfId="49" priority="47" operator="containsText" text="D">
      <formula>NOT(ISERROR(SEARCH("D",AD52)))</formula>
    </cfRule>
    <cfRule type="containsText" dxfId="48" priority="48" operator="containsText" text="A">
      <formula>NOT(ISERROR(SEARCH("A",AD52)))</formula>
    </cfRule>
    <cfRule type="containsText" dxfId="47" priority="49" operator="containsText" text="D">
      <formula>NOT(ISERROR(SEARCH("D",AD52)))</formula>
    </cfRule>
    <cfRule type="containsText" dxfId="46" priority="50" operator="containsText" text="A">
      <formula>NOT(ISERROR(SEARCH("A",AD52)))</formula>
    </cfRule>
  </conditionalFormatting>
  <conditionalFormatting sqref="AG65:AI65">
    <cfRule type="containsText" dxfId="45" priority="45" operator="containsText" text="D">
      <formula>NOT(ISERROR(SEARCH("D",AG65)))</formula>
    </cfRule>
    <cfRule type="containsText" dxfId="44" priority="46" operator="containsText" text="A">
      <formula>NOT(ISERROR(SEARCH("A",AG65)))</formula>
    </cfRule>
  </conditionalFormatting>
  <conditionalFormatting sqref="L65:AF65">
    <cfRule type="containsText" dxfId="43" priority="41" operator="containsText" text="D">
      <formula>NOT(ISERROR(SEARCH("D",L65)))</formula>
    </cfRule>
    <cfRule type="containsText" dxfId="42" priority="42" operator="containsText" text="A">
      <formula>NOT(ISERROR(SEARCH("A",L65)))</formula>
    </cfRule>
    <cfRule type="containsText" dxfId="41" priority="43" operator="containsText" text="D">
      <formula>NOT(ISERROR(SEARCH("D",L65)))</formula>
    </cfRule>
    <cfRule type="containsText" dxfId="40" priority="44" operator="containsText" text="A">
      <formula>NOT(ISERROR(SEARCH("A",L65)))</formula>
    </cfRule>
  </conditionalFormatting>
  <conditionalFormatting sqref="L63:AA63">
    <cfRule type="containsText" dxfId="39" priority="25" operator="containsText" text="D">
      <formula>NOT(ISERROR(SEARCH("D",L63)))</formula>
    </cfRule>
    <cfRule type="containsText" dxfId="38" priority="26" operator="containsText" text="A">
      <formula>NOT(ISERROR(SEARCH("A",L63)))</formula>
    </cfRule>
    <cfRule type="containsText" dxfId="37" priority="27" operator="containsText" text="D">
      <formula>NOT(ISERROR(SEARCH("D",L63)))</formula>
    </cfRule>
    <cfRule type="containsText" dxfId="36" priority="28" operator="containsText" text="A">
      <formula>NOT(ISERROR(SEARCH("A",L63)))</formula>
    </cfRule>
    <cfRule type="containsText" dxfId="35" priority="37" operator="containsText" text="D">
      <formula>NOT(ISERROR(SEARCH("D",L63)))</formula>
    </cfRule>
    <cfRule type="containsText" dxfId="34" priority="38" operator="containsText" text="A">
      <formula>NOT(ISERROR(SEARCH("A",L63)))</formula>
    </cfRule>
    <cfRule type="containsText" dxfId="33" priority="39" operator="containsText" text="D">
      <formula>NOT(ISERROR(SEARCH("D",L63)))</formula>
    </cfRule>
    <cfRule type="containsText" dxfId="32" priority="40" operator="containsText" text="A">
      <formula>NOT(ISERROR(SEARCH("A",L63)))</formula>
    </cfRule>
  </conditionalFormatting>
  <conditionalFormatting sqref="L59:S59 U59:Y59">
    <cfRule type="containsText" dxfId="31" priority="23" operator="containsText" text="D">
      <formula>NOT(ISERROR(SEARCH("D",L59)))</formula>
    </cfRule>
    <cfRule type="containsText" dxfId="30" priority="24" operator="containsText" text="A">
      <formula>NOT(ISERROR(SEARCH("A",L59)))</formula>
    </cfRule>
    <cfRule type="containsText" dxfId="29" priority="35" operator="containsText" text="D">
      <formula>NOT(ISERROR(SEARCH("D",L59)))</formula>
    </cfRule>
    <cfRule type="containsText" dxfId="28" priority="36" operator="containsText" text="A">
      <formula>NOT(ISERROR(SEARCH("A",L59)))</formula>
    </cfRule>
  </conditionalFormatting>
  <conditionalFormatting sqref="M35:M38">
    <cfRule type="containsText" dxfId="27" priority="33" operator="containsText" text="D">
      <formula>NOT(ISERROR(SEARCH("D",M35)))</formula>
    </cfRule>
    <cfRule type="containsText" dxfId="26" priority="34" operator="containsText" text="A">
      <formula>NOT(ISERROR(SEARCH("A",M35)))</formula>
    </cfRule>
  </conditionalFormatting>
  <conditionalFormatting sqref="L65:AE65">
    <cfRule type="containsText" dxfId="25" priority="29" operator="containsText" text="D">
      <formula>NOT(ISERROR(SEARCH("D",L65)))</formula>
    </cfRule>
    <cfRule type="containsText" dxfId="24" priority="30" operator="containsText" text="A">
      <formula>NOT(ISERROR(SEARCH("A",L65)))</formula>
    </cfRule>
    <cfRule type="containsText" dxfId="23" priority="31" operator="containsText" text="D">
      <formula>NOT(ISERROR(SEARCH("D",L65)))</formula>
    </cfRule>
    <cfRule type="containsText" dxfId="22" priority="32" operator="containsText" text="A">
      <formula>NOT(ISERROR(SEARCH("A",L65)))</formula>
    </cfRule>
  </conditionalFormatting>
  <conditionalFormatting sqref="L66:AE66">
    <cfRule type="containsText" dxfId="21" priority="19" operator="containsText" text="D">
      <formula>NOT(ISERROR(SEARCH("D",L66)))</formula>
    </cfRule>
    <cfRule type="containsText" dxfId="20" priority="20" operator="containsText" text="A">
      <formula>NOT(ISERROR(SEARCH("A",L66)))</formula>
    </cfRule>
    <cfRule type="containsText" dxfId="19" priority="21" operator="containsText" text="D">
      <formula>NOT(ISERROR(SEARCH("D",L66)))</formula>
    </cfRule>
    <cfRule type="containsText" dxfId="18" priority="22" operator="containsText" text="A">
      <formula>NOT(ISERROR(SEARCH("A",L66)))</formula>
    </cfRule>
  </conditionalFormatting>
  <conditionalFormatting sqref="L64:AA64">
    <cfRule type="containsText" dxfId="17" priority="15" operator="containsText" text="D">
      <formula>NOT(ISERROR(SEARCH("D",L64)))</formula>
    </cfRule>
    <cfRule type="containsText" dxfId="16" priority="16" operator="containsText" text="A">
      <formula>NOT(ISERROR(SEARCH("A",L64)))</formula>
    </cfRule>
    <cfRule type="containsText" dxfId="15" priority="17" operator="containsText" text="D">
      <formula>NOT(ISERROR(SEARCH("D",L64)))</formula>
    </cfRule>
    <cfRule type="containsText" dxfId="14" priority="18" operator="containsText" text="A">
      <formula>NOT(ISERROR(SEARCH("A",L64)))</formula>
    </cfRule>
  </conditionalFormatting>
  <conditionalFormatting sqref="L60:S60 U60:Y60">
    <cfRule type="containsText" dxfId="13" priority="13" operator="containsText" text="D">
      <formula>NOT(ISERROR(SEARCH("D",L60)))</formula>
    </cfRule>
    <cfRule type="containsText" dxfId="12" priority="14" operator="containsText" text="A">
      <formula>NOT(ISERROR(SEARCH("A",L60)))</formula>
    </cfRule>
  </conditionalFormatting>
  <conditionalFormatting sqref="AA53:AA56">
    <cfRule type="containsText" dxfId="11" priority="9" operator="containsText" text="D">
      <formula>NOT(ISERROR(SEARCH("D",AA53)))</formula>
    </cfRule>
    <cfRule type="containsText" dxfId="10" priority="10" operator="containsText" text="A">
      <formula>NOT(ISERROR(SEARCH("A",AA53)))</formula>
    </cfRule>
    <cfRule type="containsText" dxfId="9" priority="11" operator="containsText" text="D">
      <formula>NOT(ISERROR(SEARCH("D",AA53)))</formula>
    </cfRule>
    <cfRule type="containsText" dxfId="8" priority="12" operator="containsText" text="A">
      <formula>NOT(ISERROR(SEARCH("A",AA53)))</formula>
    </cfRule>
  </conditionalFormatting>
  <conditionalFormatting sqref="AA53">
    <cfRule type="containsText" dxfId="7" priority="1" operator="containsText" text="D">
      <formula>NOT(ISERROR(SEARCH("D",AA53)))</formula>
    </cfRule>
    <cfRule type="containsText" dxfId="6" priority="2" operator="containsText" text="A">
      <formula>NOT(ISERROR(SEARCH("A",AA53)))</formula>
    </cfRule>
    <cfRule type="containsText" dxfId="5" priority="3" operator="containsText" text="D">
      <formula>NOT(ISERROR(SEARCH("D",AA53)))</formula>
    </cfRule>
    <cfRule type="containsText" dxfId="4" priority="4" operator="containsText" text="A">
      <formula>NOT(ISERROR(SEARCH("A",AA53)))</formula>
    </cfRule>
    <cfRule type="containsText" dxfId="3" priority="5" operator="containsText" text="D">
      <formula>NOT(ISERROR(SEARCH("D",AA53)))</formula>
    </cfRule>
    <cfRule type="containsText" dxfId="2" priority="6" operator="containsText" text="A">
      <formula>NOT(ISERROR(SEARCH("A",AA53)))</formula>
    </cfRule>
    <cfRule type="containsText" dxfId="1" priority="7" operator="containsText" text="D">
      <formula>NOT(ISERROR(SEARCH("D",AA53)))</formula>
    </cfRule>
    <cfRule type="containsText" dxfId="0" priority="8" operator="containsText" text="A">
      <formula>NOT(ISERROR(SEARCH("A",AA53)))</formula>
    </cfRule>
  </conditionalFormatting>
  <dataValidations count="3">
    <dataValidation type="list" allowBlank="1" showInputMessage="1" showErrorMessage="1" sqref="L1" xr:uid="{00000000-0002-0000-0300-000000000000}">
      <formula1>"K0_procedure,gravity_loading"</formula1>
    </dataValidation>
    <dataValidation type="list" allowBlank="1" showInputMessage="1" showErrorMessage="1" sqref="M1:AH1" xr:uid="{00000000-0002-0000-0300-000001000000}">
      <formula1>"plastic, consolidation"</formula1>
    </dataValidation>
    <dataValidation type="list" allowBlank="1" showInputMessage="1" showErrorMessage="1" sqref="L3:AH3" xr:uid="{00000000-0002-0000-0300-000002000000}">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46" r:id="rId3" name="Button 2">
              <controlPr defaultSize="0" print="0" autoFill="0" autoPict="0" macro="[0]!Run_scFULL">
                <anchor moveWithCells="1" sizeWithCells="1">
                  <from>
                    <xdr:col>1</xdr:col>
                    <xdr:colOff>114300</xdr:colOff>
                    <xdr:row>0</xdr:row>
                    <xdr:rowOff>114300</xdr:rowOff>
                  </from>
                  <to>
                    <xdr:col>1</xdr:col>
                    <xdr:colOff>1885950</xdr:colOff>
                    <xdr:row>2</xdr:row>
                    <xdr:rowOff>171450</xdr:rowOff>
                  </to>
                </anchor>
              </controlPr>
            </control>
          </mc:Choice>
        </mc:AlternateContent>
        <mc:AlternateContent xmlns:mc="http://schemas.openxmlformats.org/markup-compatibility/2006">
          <mc:Choice Requires="x14">
            <control shapeId="134153" r:id="rId4" name="Button 9">
              <controlPr defaultSize="0" print="0" autoFill="0" autoPict="0" macro="[0]!ToggleAssignSequenceColumns">
                <anchor moveWithCells="1" sizeWithCells="1">
                  <from>
                    <xdr:col>0</xdr:col>
                    <xdr:colOff>66675</xdr:colOff>
                    <xdr:row>0</xdr:row>
                    <xdr:rowOff>114300</xdr:rowOff>
                  </from>
                  <to>
                    <xdr:col>0</xdr:col>
                    <xdr:colOff>657225</xdr:colOff>
                    <xdr:row>2</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4" tint="0.79998168889431442"/>
  </sheetPr>
  <dimension ref="B2:BK26"/>
  <sheetViews>
    <sheetView zoomScale="85" zoomScaleNormal="85" workbookViewId="0">
      <selection activeCell="C2" sqref="C2"/>
    </sheetView>
  </sheetViews>
  <sheetFormatPr defaultColWidth="26" defaultRowHeight="15.75" x14ac:dyDescent="0.25"/>
  <cols>
    <col min="1" max="1" width="10" customWidth="1"/>
    <col min="2" max="2" width="18.75" customWidth="1"/>
    <col min="3" max="3" width="16.5" customWidth="1"/>
    <col min="4" max="4" width="8.75" customWidth="1"/>
    <col min="5" max="5" width="8.125" customWidth="1"/>
    <col min="6" max="6" width="10.875" customWidth="1"/>
    <col min="7" max="9" width="9" customWidth="1"/>
    <col min="10" max="10" width="3.25" style="55" hidden="1" customWidth="1"/>
    <col min="11" max="11" width="32.625" hidden="1" customWidth="1"/>
    <col min="12" max="12" width="0" hidden="1" customWidth="1"/>
    <col min="13" max="13" width="5.75" hidden="1" customWidth="1"/>
    <col min="14" max="14" width="7.625" hidden="1" customWidth="1"/>
    <col min="15" max="22" width="7.875" hidden="1" customWidth="1"/>
    <col min="23" max="23" width="8.625" hidden="1" customWidth="1"/>
    <col min="24" max="24" width="8.375" hidden="1" customWidth="1"/>
    <col min="25" max="32" width="8.625" hidden="1" customWidth="1"/>
    <col min="33" max="33" width="9" hidden="1" customWidth="1"/>
    <col min="34" max="34" width="8.625" hidden="1" customWidth="1"/>
    <col min="35" max="63" width="9" hidden="1" customWidth="1"/>
  </cols>
  <sheetData>
    <row r="2" spans="2:63" x14ac:dyDescent="0.25">
      <c r="C2" t="s">
        <v>507</v>
      </c>
      <c r="X2" s="75"/>
      <c r="Y2" t="s">
        <v>498</v>
      </c>
    </row>
    <row r="4" spans="2:63" x14ac:dyDescent="0.25">
      <c r="K4" t="s">
        <v>394</v>
      </c>
      <c r="L4" t="s">
        <v>395</v>
      </c>
    </row>
    <row r="5" spans="2:63" x14ac:dyDescent="0.25">
      <c r="K5" t="s">
        <v>396</v>
      </c>
      <c r="L5" t="s">
        <v>156</v>
      </c>
    </row>
    <row r="6" spans="2:63" x14ac:dyDescent="0.25">
      <c r="K6" t="s">
        <v>495</v>
      </c>
      <c r="L6" t="s">
        <v>505</v>
      </c>
    </row>
    <row r="7" spans="2:63" x14ac:dyDescent="0.25">
      <c r="B7" t="s">
        <v>397</v>
      </c>
      <c r="G7" t="s">
        <v>490</v>
      </c>
    </row>
    <row r="8" spans="2:63" x14ac:dyDescent="0.25">
      <c r="B8" s="39" t="s">
        <v>267</v>
      </c>
      <c r="C8" s="39" t="s">
        <v>113</v>
      </c>
      <c r="D8" s="39" t="s">
        <v>114</v>
      </c>
      <c r="E8" s="39" t="s">
        <v>115</v>
      </c>
      <c r="F8" s="39" t="s">
        <v>28</v>
      </c>
      <c r="G8" s="39" t="s">
        <v>491</v>
      </c>
      <c r="H8" s="39" t="s">
        <v>492</v>
      </c>
      <c r="J8" s="55" t="s">
        <v>398</v>
      </c>
      <c r="K8" s="39" t="s">
        <v>399</v>
      </c>
      <c r="L8" s="39" t="s">
        <v>268</v>
      </c>
      <c r="M8" s="39" t="s">
        <v>270</v>
      </c>
      <c r="N8" s="39" t="s">
        <v>271</v>
      </c>
      <c r="O8" s="39" t="s">
        <v>272</v>
      </c>
      <c r="P8" s="39" t="s">
        <v>273</v>
      </c>
      <c r="Q8" s="39" t="s">
        <v>274</v>
      </c>
      <c r="R8" s="39" t="s">
        <v>275</v>
      </c>
      <c r="S8" s="39" t="s">
        <v>276</v>
      </c>
      <c r="T8" s="39" t="s">
        <v>277</v>
      </c>
      <c r="U8" s="39" t="s">
        <v>278</v>
      </c>
      <c r="V8" s="39" t="s">
        <v>279</v>
      </c>
      <c r="W8" s="39" t="s">
        <v>280</v>
      </c>
      <c r="X8" s="39" t="s">
        <v>281</v>
      </c>
      <c r="Y8" s="39" t="s">
        <v>282</v>
      </c>
      <c r="Z8" s="39" t="s">
        <v>283</v>
      </c>
      <c r="AA8" s="39" t="s">
        <v>284</v>
      </c>
      <c r="AB8" s="39" t="s">
        <v>285</v>
      </c>
      <c r="AC8" s="39" t="s">
        <v>286</v>
      </c>
      <c r="AD8" s="39" t="s">
        <v>287</v>
      </c>
      <c r="AE8" s="39" t="s">
        <v>288</v>
      </c>
      <c r="AF8" s="39" t="s">
        <v>289</v>
      </c>
      <c r="AG8" s="39" t="s">
        <v>290</v>
      </c>
      <c r="AH8" s="39" t="s">
        <v>291</v>
      </c>
      <c r="AI8" s="39" t="s">
        <v>292</v>
      </c>
      <c r="AJ8" s="39" t="s">
        <v>293</v>
      </c>
      <c r="AK8" s="39" t="s">
        <v>294</v>
      </c>
      <c r="AL8" s="39" t="s">
        <v>295</v>
      </c>
      <c r="AM8" s="39" t="s">
        <v>296</v>
      </c>
      <c r="AN8" s="39" t="s">
        <v>297</v>
      </c>
      <c r="AO8" s="39" t="s">
        <v>298</v>
      </c>
      <c r="AP8" s="39" t="s">
        <v>299</v>
      </c>
      <c r="AQ8" s="39" t="s">
        <v>300</v>
      </c>
      <c r="AR8" s="39" t="s">
        <v>301</v>
      </c>
      <c r="AS8" s="39" t="s">
        <v>302</v>
      </c>
      <c r="AT8" s="39" t="s">
        <v>303</v>
      </c>
      <c r="AU8" s="39" t="s">
        <v>304</v>
      </c>
      <c r="AV8" s="39" t="s">
        <v>305</v>
      </c>
      <c r="AW8" s="39" t="s">
        <v>306</v>
      </c>
      <c r="AX8" s="39" t="s">
        <v>307</v>
      </c>
      <c r="AY8" s="39" t="s">
        <v>308</v>
      </c>
      <c r="AZ8" s="39" t="s">
        <v>309</v>
      </c>
      <c r="BA8" s="39" t="s">
        <v>310</v>
      </c>
      <c r="BB8" s="39" t="s">
        <v>311</v>
      </c>
      <c r="BC8" s="39" t="s">
        <v>312</v>
      </c>
      <c r="BD8" s="39" t="s">
        <v>313</v>
      </c>
      <c r="BE8" s="39" t="s">
        <v>314</v>
      </c>
      <c r="BF8" s="39" t="s">
        <v>315</v>
      </c>
      <c r="BG8" s="39" t="s">
        <v>316</v>
      </c>
      <c r="BH8" s="39" t="s">
        <v>317</v>
      </c>
      <c r="BI8" s="39" t="s">
        <v>318</v>
      </c>
      <c r="BJ8" s="39" t="s">
        <v>319</v>
      </c>
      <c r="BK8" s="39" t="s">
        <v>320</v>
      </c>
    </row>
    <row r="9" spans="2:63" x14ac:dyDescent="0.25">
      <c r="B9" s="3" t="s">
        <v>400</v>
      </c>
      <c r="C9" s="3" t="s">
        <v>401</v>
      </c>
      <c r="D9" s="3">
        <v>138.995</v>
      </c>
      <c r="E9" s="3">
        <v>12.1</v>
      </c>
      <c r="F9" s="3" t="s">
        <v>402</v>
      </c>
      <c r="G9" s="3" t="s">
        <v>496</v>
      </c>
      <c r="H9" s="3" t="s">
        <v>497</v>
      </c>
      <c r="K9" s="3" t="s">
        <v>510</v>
      </c>
      <c r="L9" s="3" t="s">
        <v>321</v>
      </c>
      <c r="M9" s="3"/>
      <c r="N9" s="3"/>
      <c r="O9" s="3"/>
      <c r="P9" s="75"/>
      <c r="Q9" s="75"/>
      <c r="R9" s="75"/>
      <c r="S9" s="75"/>
      <c r="T9" s="75"/>
      <c r="U9" s="75"/>
      <c r="V9" s="75"/>
      <c r="W9" s="75"/>
      <c r="X9" s="75"/>
      <c r="Y9" s="75"/>
      <c r="Z9" s="75" t="s">
        <v>403</v>
      </c>
      <c r="AA9" s="75" t="s">
        <v>403</v>
      </c>
      <c r="AB9" s="75" t="s">
        <v>403</v>
      </c>
      <c r="AC9" s="75" t="s">
        <v>403</v>
      </c>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row>
    <row r="10" spans="2:63" x14ac:dyDescent="0.25">
      <c r="B10" s="3" t="s">
        <v>404</v>
      </c>
      <c r="C10" s="3" t="s">
        <v>401</v>
      </c>
      <c r="D10" s="3">
        <v>131.52799999999999</v>
      </c>
      <c r="E10" s="3">
        <v>-2.9529999999999998</v>
      </c>
      <c r="F10" s="3" t="s">
        <v>402</v>
      </c>
      <c r="G10" s="3" t="s">
        <v>496</v>
      </c>
      <c r="H10" s="3" t="s">
        <v>497</v>
      </c>
      <c r="K10" s="3" t="s">
        <v>510</v>
      </c>
      <c r="L10" s="3" t="s">
        <v>322</v>
      </c>
      <c r="M10" s="3"/>
      <c r="N10" s="3"/>
      <c r="O10" s="3"/>
      <c r="P10" s="75"/>
      <c r="Q10" s="75"/>
      <c r="R10" s="75"/>
      <c r="S10" s="75"/>
      <c r="T10" s="75"/>
      <c r="U10" s="75"/>
      <c r="V10" s="75"/>
      <c r="W10" s="75"/>
      <c r="X10" s="75"/>
      <c r="Y10" s="75"/>
      <c r="Z10" s="75"/>
      <c r="AA10" s="75"/>
      <c r="AB10" s="75"/>
      <c r="AC10" s="75"/>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row>
    <row r="11" spans="2:63" x14ac:dyDescent="0.25">
      <c r="B11" s="3" t="s">
        <v>405</v>
      </c>
      <c r="C11" s="3" t="s">
        <v>401</v>
      </c>
      <c r="D11" s="3">
        <v>101.441</v>
      </c>
      <c r="E11" s="3">
        <v>-7.915</v>
      </c>
      <c r="F11" s="3" t="s">
        <v>402</v>
      </c>
      <c r="G11" s="3" t="s">
        <v>496</v>
      </c>
      <c r="H11" s="3" t="s">
        <v>497</v>
      </c>
      <c r="K11" s="3" t="s">
        <v>323</v>
      </c>
      <c r="L11" s="3" t="s">
        <v>324</v>
      </c>
      <c r="M11" s="3"/>
      <c r="N11" s="3"/>
      <c r="O11" s="3"/>
      <c r="P11" s="3"/>
      <c r="Q11" s="3"/>
      <c r="R11" s="3"/>
      <c r="S11" s="75"/>
      <c r="T11" s="75"/>
      <c r="U11" s="75"/>
      <c r="V11" s="75"/>
      <c r="W11" s="75"/>
      <c r="X11" s="75"/>
      <c r="Y11" s="75"/>
      <c r="Z11" s="75" t="s">
        <v>403</v>
      </c>
      <c r="AA11" s="75" t="s">
        <v>403</v>
      </c>
      <c r="AB11" s="75" t="s">
        <v>403</v>
      </c>
      <c r="AC11" s="75" t="s">
        <v>403</v>
      </c>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row>
    <row r="12" spans="2:63" x14ac:dyDescent="0.25">
      <c r="B12" s="3" t="s">
        <v>406</v>
      </c>
      <c r="C12" s="3" t="s">
        <v>401</v>
      </c>
      <c r="D12" s="3">
        <v>131.501</v>
      </c>
      <c r="E12" s="3">
        <v>-51.981000000000002</v>
      </c>
      <c r="F12" s="3" t="s">
        <v>402</v>
      </c>
      <c r="G12" s="3" t="s">
        <v>496</v>
      </c>
      <c r="H12" s="3" t="s">
        <v>497</v>
      </c>
      <c r="K12" s="3" t="s">
        <v>323</v>
      </c>
      <c r="L12" s="3" t="s">
        <v>325</v>
      </c>
      <c r="M12" s="3"/>
      <c r="N12" s="3"/>
      <c r="O12" s="3"/>
      <c r="P12" s="3"/>
      <c r="Q12" s="3"/>
      <c r="R12" s="3"/>
      <c r="S12" s="75"/>
      <c r="T12" s="75"/>
      <c r="U12" s="75"/>
      <c r="V12" s="75"/>
      <c r="W12" s="75"/>
      <c r="X12" s="75"/>
      <c r="Y12" s="75"/>
      <c r="Z12" s="75"/>
      <c r="AA12" s="75"/>
      <c r="AB12" s="75"/>
      <c r="AC12" s="75"/>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row>
    <row r="13" spans="2:63" x14ac:dyDescent="0.25">
      <c r="B13" s="3" t="s">
        <v>407</v>
      </c>
      <c r="C13" s="3" t="s">
        <v>408</v>
      </c>
      <c r="D13" s="3">
        <v>81.655000000000001</v>
      </c>
      <c r="E13" s="3">
        <v>6.923</v>
      </c>
      <c r="F13" s="3" t="s">
        <v>409</v>
      </c>
      <c r="G13" s="3" t="s">
        <v>493</v>
      </c>
      <c r="H13" s="3" t="s">
        <v>494</v>
      </c>
      <c r="K13" s="3" t="s">
        <v>501</v>
      </c>
      <c r="L13" s="3" t="s">
        <v>326</v>
      </c>
      <c r="M13" s="3"/>
      <c r="N13" s="3"/>
      <c r="O13" s="3"/>
      <c r="P13" s="3"/>
      <c r="Q13" s="3"/>
      <c r="R13" s="3"/>
      <c r="S13" s="3"/>
      <c r="T13" s="3"/>
      <c r="U13" s="75"/>
      <c r="V13" s="75"/>
      <c r="W13" s="75"/>
      <c r="X13" s="75"/>
      <c r="Y13" s="75"/>
      <c r="Z13" s="75" t="s">
        <v>410</v>
      </c>
      <c r="AA13" s="75" t="s">
        <v>410</v>
      </c>
      <c r="AB13" s="75" t="s">
        <v>410</v>
      </c>
      <c r="AC13" s="75" t="s">
        <v>410</v>
      </c>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row>
    <row r="14" spans="2:63" x14ac:dyDescent="0.25">
      <c r="B14" s="3" t="s">
        <v>411</v>
      </c>
      <c r="C14" s="3" t="s">
        <v>408</v>
      </c>
      <c r="D14" s="3">
        <v>87.396000000000001</v>
      </c>
      <c r="E14" s="3">
        <v>-16.292000000000002</v>
      </c>
      <c r="F14" s="3" t="s">
        <v>409</v>
      </c>
      <c r="G14" s="3" t="s">
        <v>493</v>
      </c>
      <c r="H14" s="3" t="s">
        <v>494</v>
      </c>
      <c r="K14" s="3" t="s">
        <v>327</v>
      </c>
      <c r="L14" s="3" t="s">
        <v>328</v>
      </c>
      <c r="M14" s="3"/>
      <c r="N14" s="3"/>
      <c r="O14" s="75"/>
      <c r="P14" s="75"/>
      <c r="Q14" s="75"/>
      <c r="R14" s="75"/>
      <c r="S14" s="75"/>
      <c r="T14" s="75"/>
      <c r="U14" s="75"/>
      <c r="V14" s="75"/>
      <c r="W14" s="75"/>
      <c r="X14" s="75"/>
      <c r="Y14" s="75"/>
      <c r="Z14" s="75" t="s">
        <v>506</v>
      </c>
      <c r="AA14" s="75" t="s">
        <v>506</v>
      </c>
      <c r="AB14" s="75" t="s">
        <v>506</v>
      </c>
      <c r="AC14" s="75" t="s">
        <v>506</v>
      </c>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row>
    <row r="15" spans="2:63" x14ac:dyDescent="0.25">
      <c r="B15" s="3" t="s">
        <v>412</v>
      </c>
      <c r="C15" s="3" t="s">
        <v>408</v>
      </c>
      <c r="D15" s="3">
        <v>67.86</v>
      </c>
      <c r="E15" s="3">
        <v>-44.793999999999997</v>
      </c>
      <c r="F15" s="3" t="s">
        <v>409</v>
      </c>
      <c r="G15" s="3" t="s">
        <v>493</v>
      </c>
      <c r="H15" s="3" t="s">
        <v>494</v>
      </c>
      <c r="K15" s="3" t="s">
        <v>330</v>
      </c>
      <c r="L15" s="3" t="s">
        <v>331</v>
      </c>
      <c r="M15" s="3"/>
      <c r="N15" s="3"/>
      <c r="O15" s="3"/>
      <c r="P15" s="3"/>
      <c r="Q15" s="3"/>
      <c r="R15" s="75"/>
      <c r="S15" s="75"/>
      <c r="T15" s="75"/>
      <c r="U15" s="75"/>
      <c r="V15" s="75"/>
      <c r="W15" s="75"/>
      <c r="X15" s="75"/>
      <c r="Y15" s="75"/>
      <c r="Z15" s="75" t="s">
        <v>506</v>
      </c>
      <c r="AA15" s="75" t="s">
        <v>506</v>
      </c>
      <c r="AB15" s="75" t="s">
        <v>506</v>
      </c>
      <c r="AC15" s="75" t="s">
        <v>506</v>
      </c>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row>
    <row r="16" spans="2:63" x14ac:dyDescent="0.25">
      <c r="B16" s="3" t="s">
        <v>413</v>
      </c>
      <c r="C16" s="3" t="s">
        <v>408</v>
      </c>
      <c r="D16" s="3">
        <v>124.67</v>
      </c>
      <c r="E16" s="3">
        <v>-46.976999999999997</v>
      </c>
      <c r="F16" s="3" t="s">
        <v>409</v>
      </c>
      <c r="G16" s="3" t="s">
        <v>493</v>
      </c>
      <c r="H16" s="3" t="s">
        <v>494</v>
      </c>
      <c r="K16" s="3" t="s">
        <v>517</v>
      </c>
      <c r="L16" s="3" t="s">
        <v>333</v>
      </c>
      <c r="M16" s="3"/>
      <c r="N16" s="3"/>
      <c r="O16" s="3"/>
      <c r="P16" s="3"/>
      <c r="Q16" s="3"/>
      <c r="R16" s="75"/>
      <c r="S16" s="75"/>
      <c r="T16" s="75"/>
      <c r="U16" s="75"/>
      <c r="V16" s="75"/>
      <c r="W16" s="75"/>
      <c r="X16" s="75"/>
      <c r="Y16" s="75"/>
      <c r="Z16" s="75" t="s">
        <v>506</v>
      </c>
      <c r="AA16" s="75" t="s">
        <v>506</v>
      </c>
      <c r="AB16" s="75" t="s">
        <v>506</v>
      </c>
      <c r="AC16" s="75" t="s">
        <v>506</v>
      </c>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row>
    <row r="17" spans="2:63" x14ac:dyDescent="0.25">
      <c r="B17" s="3"/>
      <c r="C17" s="3"/>
      <c r="D17" s="3"/>
      <c r="E17" s="3"/>
      <c r="F17" s="3"/>
      <c r="G17" s="3"/>
      <c r="H17" s="3"/>
      <c r="K17" s="3" t="s">
        <v>518</v>
      </c>
      <c r="L17" s="3" t="s">
        <v>334</v>
      </c>
      <c r="M17" s="3"/>
      <c r="N17" s="3"/>
      <c r="O17" s="3"/>
      <c r="P17" s="3"/>
      <c r="Q17" s="3"/>
      <c r="R17" s="75"/>
      <c r="S17" s="75"/>
      <c r="T17" s="75"/>
      <c r="U17" s="75"/>
      <c r="V17" s="75"/>
      <c r="W17" s="75"/>
      <c r="X17" s="75"/>
      <c r="Y17" s="75"/>
      <c r="Z17" s="75" t="s">
        <v>506</v>
      </c>
      <c r="AA17" s="75" t="s">
        <v>506</v>
      </c>
      <c r="AB17" s="75" t="s">
        <v>506</v>
      </c>
      <c r="AC17" s="75" t="s">
        <v>506</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row>
    <row r="18" spans="2:63" x14ac:dyDescent="0.25">
      <c r="B18" s="3"/>
      <c r="C18" s="3"/>
      <c r="D18" s="3"/>
      <c r="E18" s="3"/>
      <c r="F18" s="3"/>
      <c r="G18" s="3"/>
      <c r="H18" s="3"/>
      <c r="K18" s="3" t="s">
        <v>330</v>
      </c>
      <c r="L18" s="3" t="s">
        <v>335</v>
      </c>
      <c r="M18" s="3"/>
      <c r="N18" s="3"/>
      <c r="O18" s="3"/>
      <c r="P18" s="3"/>
      <c r="Q18" s="3"/>
      <c r="R18" s="3"/>
      <c r="S18" s="75"/>
      <c r="T18" s="75"/>
      <c r="U18" s="75"/>
      <c r="V18" s="75"/>
      <c r="W18" s="75"/>
      <c r="X18" s="75"/>
      <c r="Y18" s="75"/>
      <c r="Z18" s="75" t="s">
        <v>506</v>
      </c>
      <c r="AA18" s="75" t="s">
        <v>506</v>
      </c>
      <c r="AB18" s="75" t="s">
        <v>506</v>
      </c>
      <c r="AC18" s="75" t="s">
        <v>506</v>
      </c>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row>
    <row r="19" spans="2:63" x14ac:dyDescent="0.25">
      <c r="B19" s="3"/>
      <c r="C19" s="3"/>
      <c r="D19" s="3"/>
      <c r="E19" s="3"/>
      <c r="F19" s="3"/>
      <c r="G19" s="3"/>
      <c r="H19" s="3"/>
      <c r="K19" s="3" t="s">
        <v>330</v>
      </c>
      <c r="L19" s="3" t="s">
        <v>336</v>
      </c>
      <c r="M19" s="3"/>
      <c r="N19" s="3"/>
      <c r="O19" s="3"/>
      <c r="P19" s="3"/>
      <c r="Q19" s="3"/>
      <c r="R19" s="3"/>
      <c r="S19" s="75"/>
      <c r="T19" s="75"/>
      <c r="U19" s="75"/>
      <c r="V19" s="75"/>
      <c r="W19" s="75"/>
      <c r="X19" s="75"/>
      <c r="Y19" s="75"/>
      <c r="Z19" s="75" t="s">
        <v>506</v>
      </c>
      <c r="AA19" s="75" t="s">
        <v>506</v>
      </c>
      <c r="AB19" s="75" t="s">
        <v>506</v>
      </c>
      <c r="AC19" s="75" t="s">
        <v>506</v>
      </c>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row>
    <row r="20" spans="2:63" x14ac:dyDescent="0.25">
      <c r="B20" s="3"/>
      <c r="C20" s="3"/>
      <c r="D20" s="3"/>
      <c r="E20" s="3"/>
      <c r="F20" s="3"/>
      <c r="G20" s="3"/>
      <c r="H20" s="3"/>
      <c r="J20" s="55" t="s">
        <v>502</v>
      </c>
      <c r="K20" s="3" t="s">
        <v>330</v>
      </c>
      <c r="L20" s="3" t="s">
        <v>337</v>
      </c>
      <c r="M20" s="3"/>
      <c r="N20" s="3"/>
      <c r="O20" s="3"/>
      <c r="P20" s="3"/>
      <c r="Q20" s="75"/>
      <c r="R20" s="75"/>
      <c r="S20" s="75"/>
      <c r="T20" s="75"/>
      <c r="U20" s="75"/>
      <c r="V20" s="75"/>
      <c r="W20" s="75"/>
      <c r="X20" s="75"/>
      <c r="Y20" s="75"/>
      <c r="Z20" s="75" t="s">
        <v>506</v>
      </c>
      <c r="AA20" s="75" t="s">
        <v>506</v>
      </c>
      <c r="AB20" s="75" t="s">
        <v>506</v>
      </c>
      <c r="AC20" s="75" t="s">
        <v>506</v>
      </c>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row>
    <row r="21" spans="2:63" x14ac:dyDescent="0.25">
      <c r="B21" s="3"/>
      <c r="C21" s="3"/>
      <c r="D21" s="3"/>
      <c r="E21" s="3"/>
      <c r="F21" s="3"/>
      <c r="G21" s="3"/>
      <c r="H21" s="3"/>
      <c r="K21" s="3" t="s">
        <v>504</v>
      </c>
      <c r="L21" s="3" t="s">
        <v>111</v>
      </c>
      <c r="M21" s="3"/>
      <c r="N21" s="3"/>
      <c r="O21" s="3"/>
      <c r="P21" s="3"/>
      <c r="Q21" s="3"/>
      <c r="R21" s="3"/>
      <c r="S21" s="3"/>
      <c r="T21" s="3"/>
      <c r="U21" s="3"/>
      <c r="V21" s="3"/>
      <c r="W21" s="3"/>
      <c r="X21" s="3"/>
      <c r="Y21" s="3"/>
      <c r="Z21" s="3"/>
      <c r="AA21" s="3"/>
      <c r="AB21" s="3" t="s">
        <v>503</v>
      </c>
      <c r="AC21" s="3" t="s">
        <v>503</v>
      </c>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row>
    <row r="22" spans="2:63" x14ac:dyDescent="0.25">
      <c r="B22" s="3"/>
      <c r="C22" s="3"/>
      <c r="D22" s="3"/>
      <c r="E22" s="3"/>
      <c r="F22" s="3"/>
      <c r="G22" s="3"/>
      <c r="H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row>
    <row r="23" spans="2:63" x14ac:dyDescent="0.25">
      <c r="B23" s="3"/>
      <c r="C23" s="3"/>
      <c r="D23" s="3"/>
      <c r="E23" s="3"/>
      <c r="F23" s="3"/>
      <c r="G23" s="3"/>
      <c r="H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row>
    <row r="24" spans="2:63" x14ac:dyDescent="0.25">
      <c r="B24" s="3"/>
      <c r="C24" s="3"/>
      <c r="D24" s="3"/>
      <c r="E24" s="3"/>
      <c r="F24" s="3"/>
      <c r="G24" s="3"/>
      <c r="H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row>
    <row r="25" spans="2:63" x14ac:dyDescent="0.25">
      <c r="B25" s="3"/>
      <c r="C25" s="3"/>
      <c r="D25" s="3"/>
      <c r="E25" s="3"/>
      <c r="F25" s="3"/>
      <c r="G25" s="3"/>
      <c r="H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row>
    <row r="26" spans="2:63" x14ac:dyDescent="0.25">
      <c r="B26" s="3"/>
      <c r="C26" s="3"/>
      <c r="D26" s="3"/>
      <c r="E26" s="3"/>
      <c r="F26" s="3"/>
      <c r="G26" s="3"/>
      <c r="H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row>
  </sheetData>
  <dataValidations count="4">
    <dataValidation type="list" allowBlank="1" showInputMessage="1" showErrorMessage="1" sqref="H9:H26" xr:uid="{7F2336E3-594E-43E5-947F-5640918AF430}">
      <formula1>"Ux, Uy,U,  q, $"</formula1>
    </dataValidation>
    <dataValidation type="list" allowBlank="1" showInputMessage="1" showErrorMessage="1" sqref="G9:G26" xr:uid="{D570621A-7FF0-43BF-9D33-6B1A28126700}">
      <formula1>"time,p',U, step"</formula1>
    </dataValidation>
    <dataValidation type="list" allowBlank="1" showInputMessage="1" showErrorMessage="1" sqref="L5" xr:uid="{035150CB-7B94-4944-AB5A-AE810286AC00}">
      <formula1>"yes, yes_without_iniitial, no"</formula1>
    </dataValidation>
    <dataValidation type="list" allowBlank="1" showInputMessage="1" showErrorMessage="1" sqref="L6" xr:uid="{03E8CD05-7077-4595-B458-6E22BBD7BF3B}">
      <formula1>"yes, yes_without_initial,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9265" r:id="rId3" name="Button 1">
              <controlPr defaultSize="0" print="0" autoFill="0" autoPict="0" macro="[0]!Module9.ToggleHideColumns_BtoH">
                <anchor moveWithCells="1" sizeWithCells="1">
                  <from>
                    <xdr:col>0</xdr:col>
                    <xdr:colOff>57150</xdr:colOff>
                    <xdr:row>0</xdr:row>
                    <xdr:rowOff>76200</xdr:rowOff>
                  </from>
                  <to>
                    <xdr:col>0</xdr:col>
                    <xdr:colOff>647700</xdr:colOff>
                    <xdr:row>2</xdr:row>
                    <xdr:rowOff>133350</xdr:rowOff>
                  </to>
                </anchor>
              </controlPr>
            </control>
          </mc:Choice>
        </mc:AlternateContent>
        <mc:AlternateContent xmlns:mc="http://schemas.openxmlformats.org/markup-compatibility/2006">
          <mc:Choice Requires="x14">
            <control shapeId="139268" r:id="rId4" name="Button 4">
              <controlPr defaultSize="0" print="0" autoFill="0" autoPict="0" macro="[0]!Run_sc7">
                <anchor moveWithCells="1" sizeWithCells="1">
                  <from>
                    <xdr:col>1</xdr:col>
                    <xdr:colOff>76200</xdr:colOff>
                    <xdr:row>0</xdr:row>
                    <xdr:rowOff>66675</xdr:rowOff>
                  </from>
                  <to>
                    <xdr:col>1</xdr:col>
                    <xdr:colOff>1400175</xdr:colOff>
                    <xdr:row>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H146"/>
  <sheetViews>
    <sheetView topLeftCell="A116" workbookViewId="0">
      <selection activeCell="H30" sqref="H30"/>
    </sheetView>
  </sheetViews>
  <sheetFormatPr defaultRowHeight="15.75" x14ac:dyDescent="0.25"/>
  <sheetData>
    <row r="1" spans="1:4" x14ac:dyDescent="0.25">
      <c r="A1" t="s">
        <v>414</v>
      </c>
      <c r="B1" t="s">
        <v>513</v>
      </c>
    </row>
    <row r="2" spans="1:4" x14ac:dyDescent="0.25">
      <c r="A2" t="s">
        <v>415</v>
      </c>
      <c r="B2" t="s">
        <v>514</v>
      </c>
    </row>
    <row r="3" spans="1:4" x14ac:dyDescent="0.25">
      <c r="A3" t="s">
        <v>416</v>
      </c>
      <c r="B3" s="73">
        <v>46280.399745370371</v>
      </c>
    </row>
    <row r="5" spans="1:4" x14ac:dyDescent="0.25">
      <c r="A5" t="s">
        <v>417</v>
      </c>
    </row>
    <row r="6" spans="1:4" x14ac:dyDescent="0.25">
      <c r="A6" t="s">
        <v>418</v>
      </c>
      <c r="B6" t="s">
        <v>267</v>
      </c>
      <c r="C6" t="s">
        <v>260</v>
      </c>
      <c r="D6" t="s">
        <v>419</v>
      </c>
    </row>
    <row r="7" spans="1:4" x14ac:dyDescent="0.25">
      <c r="A7">
        <v>12</v>
      </c>
      <c r="B7" t="s">
        <v>270</v>
      </c>
      <c r="C7" t="s">
        <v>420</v>
      </c>
      <c r="D7" t="b">
        <v>0</v>
      </c>
    </row>
    <row r="8" spans="1:4" x14ac:dyDescent="0.25">
      <c r="A8">
        <v>13</v>
      </c>
      <c r="B8" t="s">
        <v>271</v>
      </c>
      <c r="C8" t="s">
        <v>262</v>
      </c>
      <c r="D8" t="b">
        <v>0</v>
      </c>
    </row>
    <row r="9" spans="1:4" x14ac:dyDescent="0.25">
      <c r="A9">
        <v>14</v>
      </c>
      <c r="B9" t="s">
        <v>272</v>
      </c>
      <c r="C9" t="s">
        <v>262</v>
      </c>
      <c r="D9" t="b">
        <v>0</v>
      </c>
    </row>
    <row r="10" spans="1:4" x14ac:dyDescent="0.25">
      <c r="A10">
        <v>15</v>
      </c>
      <c r="B10" t="s">
        <v>273</v>
      </c>
      <c r="C10" t="s">
        <v>262</v>
      </c>
      <c r="D10" t="b">
        <v>0</v>
      </c>
    </row>
    <row r="11" spans="1:4" x14ac:dyDescent="0.25">
      <c r="A11">
        <v>16</v>
      </c>
      <c r="B11" t="s">
        <v>274</v>
      </c>
      <c r="C11" t="s">
        <v>262</v>
      </c>
      <c r="D11" t="b">
        <v>0</v>
      </c>
    </row>
    <row r="12" spans="1:4" x14ac:dyDescent="0.25">
      <c r="A12">
        <v>17</v>
      </c>
      <c r="B12" t="s">
        <v>275</v>
      </c>
      <c r="C12" t="s">
        <v>262</v>
      </c>
      <c r="D12" t="b">
        <v>0</v>
      </c>
    </row>
    <row r="13" spans="1:4" x14ac:dyDescent="0.25">
      <c r="A13">
        <v>18</v>
      </c>
      <c r="B13" t="s">
        <v>276</v>
      </c>
      <c r="C13" t="s">
        <v>262</v>
      </c>
      <c r="D13" t="b">
        <v>0</v>
      </c>
    </row>
    <row r="14" spans="1:4" x14ac:dyDescent="0.25">
      <c r="A14">
        <v>19</v>
      </c>
      <c r="B14" t="s">
        <v>277</v>
      </c>
      <c r="C14" t="s">
        <v>262</v>
      </c>
      <c r="D14" t="b">
        <v>0</v>
      </c>
    </row>
    <row r="15" spans="1:4" x14ac:dyDescent="0.25">
      <c r="A15">
        <v>20</v>
      </c>
      <c r="B15" t="s">
        <v>278</v>
      </c>
      <c r="C15" t="s">
        <v>262</v>
      </c>
      <c r="D15" t="b">
        <v>0</v>
      </c>
    </row>
    <row r="16" spans="1:4" x14ac:dyDescent="0.25">
      <c r="A16">
        <v>21</v>
      </c>
      <c r="B16" t="s">
        <v>279</v>
      </c>
      <c r="C16" t="s">
        <v>262</v>
      </c>
      <c r="D16" t="b">
        <v>0</v>
      </c>
    </row>
    <row r="17" spans="1:8" x14ac:dyDescent="0.25">
      <c r="A17">
        <v>22</v>
      </c>
      <c r="B17" t="s">
        <v>280</v>
      </c>
      <c r="C17" t="s">
        <v>262</v>
      </c>
      <c r="D17" t="b">
        <v>0</v>
      </c>
    </row>
    <row r="18" spans="1:8" x14ac:dyDescent="0.25">
      <c r="A18">
        <v>23</v>
      </c>
      <c r="B18" t="s">
        <v>281</v>
      </c>
      <c r="C18" t="s">
        <v>262</v>
      </c>
      <c r="D18" t="b">
        <v>0</v>
      </c>
    </row>
    <row r="19" spans="1:8" x14ac:dyDescent="0.25">
      <c r="A19">
        <v>24</v>
      </c>
      <c r="B19" t="s">
        <v>282</v>
      </c>
      <c r="C19" t="s">
        <v>262</v>
      </c>
      <c r="D19" t="b">
        <v>0</v>
      </c>
    </row>
    <row r="20" spans="1:8" x14ac:dyDescent="0.25">
      <c r="A20">
        <v>25</v>
      </c>
      <c r="B20" t="s">
        <v>283</v>
      </c>
      <c r="C20" t="s">
        <v>262</v>
      </c>
      <c r="D20" t="b">
        <v>0</v>
      </c>
    </row>
    <row r="21" spans="1:8" x14ac:dyDescent="0.25">
      <c r="A21">
        <v>26</v>
      </c>
      <c r="B21" t="s">
        <v>284</v>
      </c>
      <c r="C21" t="s">
        <v>262</v>
      </c>
      <c r="D21" t="b">
        <v>0</v>
      </c>
    </row>
    <row r="22" spans="1:8" x14ac:dyDescent="0.25">
      <c r="A22">
        <v>27</v>
      </c>
      <c r="B22" t="s">
        <v>285</v>
      </c>
      <c r="C22" t="s">
        <v>262</v>
      </c>
      <c r="D22" t="b">
        <v>0</v>
      </c>
    </row>
    <row r="23" spans="1:8" x14ac:dyDescent="0.25">
      <c r="A23">
        <v>28</v>
      </c>
      <c r="B23" t="s">
        <v>286</v>
      </c>
      <c r="C23" t="s">
        <v>262</v>
      </c>
      <c r="D23" t="b">
        <v>0</v>
      </c>
    </row>
    <row r="25" spans="1:8" x14ac:dyDescent="0.25">
      <c r="A25" t="s">
        <v>421</v>
      </c>
    </row>
    <row r="26" spans="1:8" x14ac:dyDescent="0.25">
      <c r="A26" t="s">
        <v>70</v>
      </c>
      <c r="B26" t="s">
        <v>418</v>
      </c>
      <c r="C26" t="s">
        <v>422</v>
      </c>
      <c r="D26" t="s">
        <v>423</v>
      </c>
      <c r="E26" t="s">
        <v>424</v>
      </c>
      <c r="F26" t="s">
        <v>425</v>
      </c>
      <c r="G26" t="s">
        <v>426</v>
      </c>
      <c r="H26" t="s">
        <v>427</v>
      </c>
    </row>
    <row r="27" spans="1:8" x14ac:dyDescent="0.25">
      <c r="A27">
        <v>7</v>
      </c>
      <c r="B27">
        <v>15</v>
      </c>
      <c r="C27" t="s">
        <v>321</v>
      </c>
      <c r="D27">
        <v>1</v>
      </c>
      <c r="E27" t="s">
        <v>15</v>
      </c>
      <c r="F27" t="s">
        <v>428</v>
      </c>
      <c r="H27" t="b">
        <v>0</v>
      </c>
    </row>
    <row r="28" spans="1:8" x14ac:dyDescent="0.25">
      <c r="A28">
        <v>8</v>
      </c>
      <c r="B28">
        <v>15</v>
      </c>
      <c r="C28" t="s">
        <v>322</v>
      </c>
      <c r="D28">
        <v>2</v>
      </c>
      <c r="E28" t="s">
        <v>15</v>
      </c>
      <c r="F28" t="s">
        <v>428</v>
      </c>
      <c r="H28" t="b">
        <v>0</v>
      </c>
    </row>
    <row r="29" spans="1:8" x14ac:dyDescent="0.25">
      <c r="A29">
        <v>9</v>
      </c>
      <c r="B29">
        <v>18</v>
      </c>
      <c r="C29" t="s">
        <v>324</v>
      </c>
      <c r="D29">
        <v>3</v>
      </c>
      <c r="E29" t="s">
        <v>15</v>
      </c>
      <c r="F29" t="s">
        <v>428</v>
      </c>
      <c r="H29" t="b">
        <v>0</v>
      </c>
    </row>
    <row r="30" spans="1:8" x14ac:dyDescent="0.25">
      <c r="A30">
        <v>10</v>
      </c>
      <c r="B30">
        <v>18</v>
      </c>
      <c r="C30" t="s">
        <v>325</v>
      </c>
      <c r="D30">
        <v>4</v>
      </c>
      <c r="E30" t="s">
        <v>15</v>
      </c>
      <c r="F30" t="s">
        <v>428</v>
      </c>
      <c r="H30" t="b">
        <v>0</v>
      </c>
    </row>
    <row r="31" spans="1:8" x14ac:dyDescent="0.25">
      <c r="A31">
        <v>11</v>
      </c>
      <c r="B31">
        <v>20</v>
      </c>
      <c r="C31" t="s">
        <v>326</v>
      </c>
      <c r="D31">
        <v>1</v>
      </c>
      <c r="E31" t="s">
        <v>15</v>
      </c>
      <c r="F31" t="s">
        <v>428</v>
      </c>
      <c r="H31" t="b">
        <v>1</v>
      </c>
    </row>
    <row r="32" spans="1:8" x14ac:dyDescent="0.25">
      <c r="A32">
        <v>12</v>
      </c>
      <c r="B32">
        <v>14</v>
      </c>
      <c r="C32" t="s">
        <v>328</v>
      </c>
      <c r="D32">
        <v>1</v>
      </c>
      <c r="E32" t="s">
        <v>15</v>
      </c>
      <c r="F32" t="s">
        <v>428</v>
      </c>
      <c r="H32" t="b">
        <v>0</v>
      </c>
    </row>
    <row r="33" spans="1:8" x14ac:dyDescent="0.25">
      <c r="A33">
        <v>13</v>
      </c>
      <c r="B33">
        <v>17</v>
      </c>
      <c r="C33" t="s">
        <v>331</v>
      </c>
      <c r="D33">
        <v>2</v>
      </c>
      <c r="E33" t="s">
        <v>15</v>
      </c>
      <c r="F33" t="s">
        <v>428</v>
      </c>
      <c r="H33" t="b">
        <v>0</v>
      </c>
    </row>
    <row r="34" spans="1:8" x14ac:dyDescent="0.25">
      <c r="A34">
        <v>14</v>
      </c>
      <c r="B34">
        <v>17</v>
      </c>
      <c r="C34" t="s">
        <v>333</v>
      </c>
      <c r="D34">
        <v>3</v>
      </c>
      <c r="E34" t="s">
        <v>15</v>
      </c>
      <c r="F34" t="s">
        <v>428</v>
      </c>
      <c r="H34" t="b">
        <v>0</v>
      </c>
    </row>
    <row r="35" spans="1:8" x14ac:dyDescent="0.25">
      <c r="A35">
        <v>15</v>
      </c>
      <c r="B35">
        <v>17</v>
      </c>
      <c r="C35" t="s">
        <v>334</v>
      </c>
      <c r="D35">
        <v>4</v>
      </c>
      <c r="E35" t="s">
        <v>15</v>
      </c>
      <c r="F35" t="s">
        <v>428</v>
      </c>
      <c r="H35" t="b">
        <v>0</v>
      </c>
    </row>
    <row r="36" spans="1:8" x14ac:dyDescent="0.25">
      <c r="A36">
        <v>16</v>
      </c>
      <c r="B36">
        <v>18</v>
      </c>
      <c r="C36" t="s">
        <v>335</v>
      </c>
      <c r="D36">
        <v>5</v>
      </c>
      <c r="E36" t="s">
        <v>15</v>
      </c>
      <c r="F36" t="s">
        <v>428</v>
      </c>
      <c r="H36" t="b">
        <v>0</v>
      </c>
    </row>
    <row r="37" spans="1:8" x14ac:dyDescent="0.25">
      <c r="A37">
        <v>17</v>
      </c>
      <c r="B37">
        <v>18</v>
      </c>
      <c r="C37" t="s">
        <v>336</v>
      </c>
      <c r="D37">
        <v>6</v>
      </c>
      <c r="E37" t="s">
        <v>15</v>
      </c>
      <c r="F37" t="s">
        <v>428</v>
      </c>
      <c r="H37" t="b">
        <v>0</v>
      </c>
    </row>
    <row r="38" spans="1:8" x14ac:dyDescent="0.25">
      <c r="A38">
        <v>18</v>
      </c>
      <c r="B38">
        <v>16</v>
      </c>
      <c r="C38" t="s">
        <v>337</v>
      </c>
      <c r="D38">
        <v>7</v>
      </c>
      <c r="E38" t="s">
        <v>15</v>
      </c>
      <c r="F38" t="s">
        <v>428</v>
      </c>
      <c r="H38" t="b">
        <v>0</v>
      </c>
    </row>
    <row r="39" spans="1:8" x14ac:dyDescent="0.25">
      <c r="A39">
        <v>19</v>
      </c>
      <c r="B39">
        <v>15</v>
      </c>
      <c r="C39" t="s">
        <v>339</v>
      </c>
      <c r="D39">
        <v>1</v>
      </c>
      <c r="E39" t="s">
        <v>15</v>
      </c>
      <c r="F39" t="s">
        <v>428</v>
      </c>
      <c r="H39" t="b">
        <v>0</v>
      </c>
    </row>
    <row r="40" spans="1:8" x14ac:dyDescent="0.25">
      <c r="A40">
        <v>20</v>
      </c>
      <c r="B40">
        <v>15</v>
      </c>
      <c r="C40" t="s">
        <v>340</v>
      </c>
      <c r="D40">
        <v>1</v>
      </c>
      <c r="E40" t="s">
        <v>15</v>
      </c>
      <c r="F40" t="s">
        <v>428</v>
      </c>
      <c r="H40" t="b">
        <v>0</v>
      </c>
    </row>
    <row r="41" spans="1:8" x14ac:dyDescent="0.25">
      <c r="A41">
        <v>21</v>
      </c>
      <c r="B41">
        <v>18</v>
      </c>
      <c r="C41" t="s">
        <v>342</v>
      </c>
      <c r="D41">
        <v>2</v>
      </c>
      <c r="E41" t="s">
        <v>15</v>
      </c>
      <c r="F41" t="s">
        <v>428</v>
      </c>
      <c r="H41" t="b">
        <v>0</v>
      </c>
    </row>
    <row r="42" spans="1:8" x14ac:dyDescent="0.25">
      <c r="A42">
        <v>22</v>
      </c>
      <c r="B42">
        <v>18</v>
      </c>
      <c r="C42" t="s">
        <v>344</v>
      </c>
      <c r="D42">
        <v>2</v>
      </c>
      <c r="E42" t="s">
        <v>15</v>
      </c>
      <c r="F42" t="s">
        <v>428</v>
      </c>
      <c r="H42" t="b">
        <v>0</v>
      </c>
    </row>
    <row r="43" spans="1:8" x14ac:dyDescent="0.25">
      <c r="A43">
        <v>23</v>
      </c>
      <c r="B43">
        <v>19</v>
      </c>
      <c r="C43" t="s">
        <v>346</v>
      </c>
      <c r="D43">
        <v>3</v>
      </c>
      <c r="E43" t="s">
        <v>15</v>
      </c>
      <c r="F43" t="s">
        <v>428</v>
      </c>
      <c r="H43" t="b">
        <v>0</v>
      </c>
    </row>
    <row r="44" spans="1:8" x14ac:dyDescent="0.25">
      <c r="A44">
        <v>23</v>
      </c>
      <c r="B44">
        <v>21</v>
      </c>
      <c r="C44" t="s">
        <v>346</v>
      </c>
      <c r="D44">
        <v>3</v>
      </c>
      <c r="E44" t="s">
        <v>15</v>
      </c>
      <c r="F44" t="s">
        <v>428</v>
      </c>
      <c r="H44" t="b">
        <v>0</v>
      </c>
    </row>
    <row r="45" spans="1:8" x14ac:dyDescent="0.25">
      <c r="A45">
        <v>24</v>
      </c>
      <c r="B45">
        <v>19</v>
      </c>
      <c r="C45" t="s">
        <v>348</v>
      </c>
      <c r="D45">
        <v>4</v>
      </c>
      <c r="E45" t="s">
        <v>15</v>
      </c>
      <c r="F45" t="s">
        <v>428</v>
      </c>
      <c r="H45" t="b">
        <v>0</v>
      </c>
    </row>
    <row r="46" spans="1:8" x14ac:dyDescent="0.25">
      <c r="A46">
        <v>24</v>
      </c>
      <c r="B46">
        <v>21</v>
      </c>
      <c r="C46" t="s">
        <v>348</v>
      </c>
      <c r="D46">
        <v>4</v>
      </c>
      <c r="E46" t="s">
        <v>15</v>
      </c>
      <c r="F46" t="s">
        <v>428</v>
      </c>
      <c r="H46" t="b">
        <v>0</v>
      </c>
    </row>
    <row r="47" spans="1:8" x14ac:dyDescent="0.25">
      <c r="A47">
        <v>25</v>
      </c>
      <c r="B47">
        <v>19</v>
      </c>
      <c r="C47" t="s">
        <v>349</v>
      </c>
      <c r="D47">
        <v>5</v>
      </c>
      <c r="E47" t="s">
        <v>15</v>
      </c>
      <c r="F47" t="s">
        <v>428</v>
      </c>
      <c r="H47" t="b">
        <v>0</v>
      </c>
    </row>
    <row r="48" spans="1:8" x14ac:dyDescent="0.25">
      <c r="A48">
        <v>25</v>
      </c>
      <c r="B48">
        <v>21</v>
      </c>
      <c r="C48" t="s">
        <v>349</v>
      </c>
      <c r="D48">
        <v>5</v>
      </c>
      <c r="E48" t="s">
        <v>15</v>
      </c>
      <c r="F48" t="s">
        <v>428</v>
      </c>
      <c r="H48" t="b">
        <v>0</v>
      </c>
    </row>
    <row r="49" spans="1:8" x14ac:dyDescent="0.25">
      <c r="A49">
        <v>26</v>
      </c>
      <c r="B49">
        <v>19</v>
      </c>
      <c r="C49" t="s">
        <v>351</v>
      </c>
      <c r="D49">
        <v>6</v>
      </c>
      <c r="E49" t="s">
        <v>15</v>
      </c>
      <c r="F49" t="s">
        <v>428</v>
      </c>
      <c r="H49" t="b">
        <v>0</v>
      </c>
    </row>
    <row r="50" spans="1:8" x14ac:dyDescent="0.25">
      <c r="A50">
        <v>27</v>
      </c>
      <c r="B50">
        <v>19</v>
      </c>
      <c r="C50" t="s">
        <v>353</v>
      </c>
      <c r="D50">
        <v>7</v>
      </c>
      <c r="E50" t="s">
        <v>15</v>
      </c>
      <c r="F50" t="s">
        <v>428</v>
      </c>
      <c r="H50" t="b">
        <v>0</v>
      </c>
    </row>
    <row r="51" spans="1:8" x14ac:dyDescent="0.25">
      <c r="A51">
        <v>28</v>
      </c>
      <c r="B51">
        <v>19</v>
      </c>
      <c r="C51" t="s">
        <v>354</v>
      </c>
      <c r="D51">
        <v>8</v>
      </c>
      <c r="E51" t="s">
        <v>15</v>
      </c>
      <c r="F51" t="s">
        <v>428</v>
      </c>
      <c r="H51" t="b">
        <v>0</v>
      </c>
    </row>
    <row r="52" spans="1:8" x14ac:dyDescent="0.25">
      <c r="A52">
        <v>29</v>
      </c>
      <c r="B52">
        <v>19</v>
      </c>
      <c r="C52" t="s">
        <v>355</v>
      </c>
      <c r="D52">
        <v>9</v>
      </c>
      <c r="E52" t="s">
        <v>15</v>
      </c>
      <c r="F52" t="s">
        <v>428</v>
      </c>
      <c r="H52" t="b">
        <v>0</v>
      </c>
    </row>
    <row r="53" spans="1:8" x14ac:dyDescent="0.25">
      <c r="A53">
        <v>30</v>
      </c>
      <c r="B53">
        <v>19</v>
      </c>
      <c r="C53" t="s">
        <v>356</v>
      </c>
      <c r="D53">
        <v>10</v>
      </c>
      <c r="E53" t="s">
        <v>15</v>
      </c>
      <c r="F53" t="s">
        <v>428</v>
      </c>
      <c r="H53" t="b">
        <v>0</v>
      </c>
    </row>
    <row r="54" spans="1:8" x14ac:dyDescent="0.25">
      <c r="A54">
        <v>31</v>
      </c>
      <c r="B54">
        <v>19</v>
      </c>
      <c r="C54" t="s">
        <v>357</v>
      </c>
      <c r="D54">
        <v>11</v>
      </c>
      <c r="E54" t="s">
        <v>15</v>
      </c>
      <c r="F54" t="s">
        <v>428</v>
      </c>
      <c r="H54" t="b">
        <v>0</v>
      </c>
    </row>
    <row r="55" spans="1:8" x14ac:dyDescent="0.25">
      <c r="A55">
        <v>32</v>
      </c>
      <c r="B55">
        <v>19</v>
      </c>
      <c r="C55" t="s">
        <v>358</v>
      </c>
      <c r="D55">
        <v>12</v>
      </c>
      <c r="E55" t="s">
        <v>15</v>
      </c>
      <c r="F55" t="s">
        <v>428</v>
      </c>
      <c r="H55" t="b">
        <v>0</v>
      </c>
    </row>
    <row r="56" spans="1:8" x14ac:dyDescent="0.25">
      <c r="A56">
        <v>33</v>
      </c>
      <c r="B56">
        <v>19</v>
      </c>
      <c r="C56" t="s">
        <v>359</v>
      </c>
      <c r="D56">
        <v>13</v>
      </c>
      <c r="E56" t="s">
        <v>15</v>
      </c>
      <c r="F56" t="s">
        <v>428</v>
      </c>
      <c r="H56" t="b">
        <v>0</v>
      </c>
    </row>
    <row r="57" spans="1:8" x14ac:dyDescent="0.25">
      <c r="A57">
        <v>34</v>
      </c>
      <c r="B57">
        <v>21</v>
      </c>
      <c r="C57" t="s">
        <v>361</v>
      </c>
      <c r="D57">
        <v>1</v>
      </c>
      <c r="E57" t="s">
        <v>15</v>
      </c>
      <c r="F57" t="s">
        <v>428</v>
      </c>
      <c r="H57" t="b">
        <v>0</v>
      </c>
    </row>
    <row r="58" spans="1:8" x14ac:dyDescent="0.25">
      <c r="A58">
        <v>35</v>
      </c>
      <c r="B58">
        <v>21</v>
      </c>
      <c r="C58" t="s">
        <v>362</v>
      </c>
      <c r="D58">
        <v>2</v>
      </c>
      <c r="E58" t="s">
        <v>15</v>
      </c>
      <c r="F58" t="s">
        <v>428</v>
      </c>
      <c r="H58" t="b">
        <v>0</v>
      </c>
    </row>
    <row r="59" spans="1:8" x14ac:dyDescent="0.25">
      <c r="A59">
        <v>36</v>
      </c>
      <c r="B59">
        <v>21</v>
      </c>
      <c r="C59" t="s">
        <v>363</v>
      </c>
      <c r="D59">
        <v>3</v>
      </c>
      <c r="E59" t="s">
        <v>15</v>
      </c>
      <c r="F59" t="s">
        <v>428</v>
      </c>
      <c r="H59" t="b">
        <v>0</v>
      </c>
    </row>
    <row r="60" spans="1:8" x14ac:dyDescent="0.25">
      <c r="A60">
        <v>37</v>
      </c>
      <c r="B60">
        <v>12</v>
      </c>
      <c r="C60" t="s">
        <v>365</v>
      </c>
      <c r="D60">
        <v>4</v>
      </c>
      <c r="E60" t="s">
        <v>15</v>
      </c>
      <c r="F60" t="s">
        <v>428</v>
      </c>
      <c r="H60" t="b">
        <v>0</v>
      </c>
    </row>
    <row r="61" spans="1:8" x14ac:dyDescent="0.25">
      <c r="A61">
        <v>38</v>
      </c>
      <c r="B61">
        <v>13</v>
      </c>
      <c r="C61" t="s">
        <v>366</v>
      </c>
      <c r="D61">
        <v>5</v>
      </c>
      <c r="E61" t="s">
        <v>367</v>
      </c>
      <c r="F61" t="s">
        <v>429</v>
      </c>
      <c r="H61" t="b">
        <v>0</v>
      </c>
    </row>
    <row r="62" spans="1:8" x14ac:dyDescent="0.25">
      <c r="A62">
        <v>38</v>
      </c>
      <c r="B62">
        <v>20</v>
      </c>
      <c r="C62" t="s">
        <v>366</v>
      </c>
      <c r="D62">
        <v>5</v>
      </c>
      <c r="E62" t="s">
        <v>15</v>
      </c>
      <c r="F62" t="s">
        <v>428</v>
      </c>
      <c r="H62" t="b">
        <v>0</v>
      </c>
    </row>
    <row r="63" spans="1:8" x14ac:dyDescent="0.25">
      <c r="A63">
        <v>39</v>
      </c>
      <c r="B63">
        <v>25</v>
      </c>
      <c r="C63" t="s">
        <v>368</v>
      </c>
      <c r="D63">
        <v>6</v>
      </c>
      <c r="E63" t="s">
        <v>367</v>
      </c>
      <c r="F63" t="s">
        <v>429</v>
      </c>
      <c r="H63" t="b">
        <v>0</v>
      </c>
    </row>
    <row r="64" spans="1:8" x14ac:dyDescent="0.25">
      <c r="A64">
        <v>40</v>
      </c>
      <c r="B64">
        <v>19</v>
      </c>
      <c r="C64" t="s">
        <v>369</v>
      </c>
      <c r="D64">
        <v>7</v>
      </c>
      <c r="E64" t="s">
        <v>15</v>
      </c>
      <c r="F64" t="s">
        <v>428</v>
      </c>
      <c r="H64" t="b">
        <v>0</v>
      </c>
    </row>
    <row r="65" spans="1:8" x14ac:dyDescent="0.25">
      <c r="A65">
        <v>40</v>
      </c>
      <c r="B65">
        <v>22</v>
      </c>
      <c r="C65" t="s">
        <v>369</v>
      </c>
      <c r="D65">
        <v>7</v>
      </c>
      <c r="E65" t="s">
        <v>367</v>
      </c>
      <c r="F65" t="s">
        <v>429</v>
      </c>
      <c r="H65" t="b">
        <v>0</v>
      </c>
    </row>
    <row r="66" spans="1:8" x14ac:dyDescent="0.25">
      <c r="A66">
        <v>41</v>
      </c>
      <c r="B66">
        <v>12</v>
      </c>
      <c r="C66" t="s">
        <v>370</v>
      </c>
      <c r="D66">
        <v>8</v>
      </c>
      <c r="E66" t="s">
        <v>367</v>
      </c>
      <c r="F66" t="s">
        <v>429</v>
      </c>
      <c r="H66" t="b">
        <v>0</v>
      </c>
    </row>
    <row r="67" spans="1:8" x14ac:dyDescent="0.25">
      <c r="A67">
        <v>42</v>
      </c>
      <c r="B67">
        <v>24</v>
      </c>
      <c r="C67" t="s">
        <v>371</v>
      </c>
      <c r="D67">
        <v>9</v>
      </c>
      <c r="E67" t="s">
        <v>367</v>
      </c>
      <c r="F67" t="s">
        <v>429</v>
      </c>
      <c r="H67" t="b">
        <v>0</v>
      </c>
    </row>
    <row r="68" spans="1:8" x14ac:dyDescent="0.25">
      <c r="A68">
        <v>43</v>
      </c>
      <c r="B68">
        <v>23</v>
      </c>
      <c r="C68" t="s">
        <v>373</v>
      </c>
      <c r="D68">
        <v>10</v>
      </c>
      <c r="E68" t="s">
        <v>367</v>
      </c>
      <c r="F68" t="s">
        <v>429</v>
      </c>
      <c r="H68" t="b">
        <v>0</v>
      </c>
    </row>
    <row r="69" spans="1:8" x14ac:dyDescent="0.25">
      <c r="A69">
        <v>44</v>
      </c>
      <c r="B69">
        <v>19</v>
      </c>
      <c r="C69" t="s">
        <v>347</v>
      </c>
      <c r="D69">
        <v>11</v>
      </c>
      <c r="E69" t="s">
        <v>15</v>
      </c>
      <c r="F69" t="s">
        <v>428</v>
      </c>
      <c r="H69" t="b">
        <v>0</v>
      </c>
    </row>
    <row r="70" spans="1:8" x14ac:dyDescent="0.25">
      <c r="A70">
        <v>45</v>
      </c>
      <c r="B70">
        <v>20</v>
      </c>
      <c r="C70" t="s">
        <v>375</v>
      </c>
      <c r="D70">
        <v>12</v>
      </c>
      <c r="E70" t="s">
        <v>367</v>
      </c>
      <c r="F70" t="s">
        <v>429</v>
      </c>
      <c r="H70" t="b">
        <v>0</v>
      </c>
    </row>
    <row r="71" spans="1:8" x14ac:dyDescent="0.25">
      <c r="A71">
        <v>46</v>
      </c>
      <c r="B71">
        <v>19</v>
      </c>
      <c r="C71" t="s">
        <v>352</v>
      </c>
      <c r="D71">
        <v>13</v>
      </c>
      <c r="E71" t="s">
        <v>15</v>
      </c>
      <c r="F71" t="s">
        <v>428</v>
      </c>
      <c r="H71" t="b">
        <v>0</v>
      </c>
    </row>
    <row r="72" spans="1:8" x14ac:dyDescent="0.25">
      <c r="A72">
        <v>47</v>
      </c>
      <c r="B72">
        <v>26</v>
      </c>
      <c r="C72" t="s">
        <v>123</v>
      </c>
      <c r="D72">
        <v>1</v>
      </c>
      <c r="E72" t="s">
        <v>15</v>
      </c>
      <c r="F72" t="s">
        <v>428</v>
      </c>
      <c r="H72" t="b">
        <v>0</v>
      </c>
    </row>
    <row r="73" spans="1:8" x14ac:dyDescent="0.25">
      <c r="A73">
        <v>48</v>
      </c>
      <c r="B73">
        <v>28</v>
      </c>
      <c r="C73" t="s">
        <v>126</v>
      </c>
      <c r="D73">
        <v>2</v>
      </c>
      <c r="E73" t="s">
        <v>15</v>
      </c>
      <c r="F73" t="s">
        <v>428</v>
      </c>
      <c r="H73" t="b">
        <v>0</v>
      </c>
    </row>
    <row r="74" spans="1:8" x14ac:dyDescent="0.25">
      <c r="A74">
        <v>49</v>
      </c>
      <c r="B74">
        <v>26</v>
      </c>
      <c r="C74" t="s">
        <v>128</v>
      </c>
      <c r="D74">
        <v>1</v>
      </c>
      <c r="E74" t="s">
        <v>15</v>
      </c>
      <c r="F74" t="s">
        <v>428</v>
      </c>
      <c r="H74" t="b">
        <v>0</v>
      </c>
    </row>
    <row r="75" spans="1:8" x14ac:dyDescent="0.25">
      <c r="A75">
        <v>50</v>
      </c>
      <c r="B75">
        <v>26</v>
      </c>
      <c r="C75" t="s">
        <v>130</v>
      </c>
      <c r="D75">
        <v>2</v>
      </c>
      <c r="E75" t="s">
        <v>15</v>
      </c>
      <c r="F75" t="s">
        <v>428</v>
      </c>
      <c r="H75" t="b">
        <v>0</v>
      </c>
    </row>
    <row r="76" spans="1:8" x14ac:dyDescent="0.25">
      <c r="A76">
        <v>51</v>
      </c>
      <c r="B76">
        <v>26</v>
      </c>
      <c r="C76" t="s">
        <v>132</v>
      </c>
      <c r="D76">
        <v>3</v>
      </c>
      <c r="E76" t="s">
        <v>15</v>
      </c>
      <c r="F76" t="s">
        <v>428</v>
      </c>
      <c r="H76" t="b">
        <v>0</v>
      </c>
    </row>
    <row r="77" spans="1:8" x14ac:dyDescent="0.25">
      <c r="A77">
        <v>53</v>
      </c>
      <c r="B77">
        <v>27</v>
      </c>
      <c r="C77" t="s">
        <v>383</v>
      </c>
      <c r="D77">
        <v>1</v>
      </c>
      <c r="E77" t="s">
        <v>384</v>
      </c>
      <c r="F77" t="s">
        <v>428</v>
      </c>
      <c r="H77" t="b">
        <v>0</v>
      </c>
    </row>
    <row r="78" spans="1:8" x14ac:dyDescent="0.25">
      <c r="A78">
        <v>54</v>
      </c>
      <c r="B78">
        <v>27</v>
      </c>
      <c r="C78" t="s">
        <v>387</v>
      </c>
      <c r="D78">
        <v>1</v>
      </c>
      <c r="E78" t="s">
        <v>15</v>
      </c>
      <c r="F78" t="s">
        <v>428</v>
      </c>
      <c r="H78" t="b">
        <v>0</v>
      </c>
    </row>
    <row r="79" spans="1:8" x14ac:dyDescent="0.25">
      <c r="A79">
        <v>55</v>
      </c>
      <c r="B79">
        <v>27</v>
      </c>
      <c r="C79" t="s">
        <v>389</v>
      </c>
      <c r="D79">
        <v>2</v>
      </c>
      <c r="E79" t="s">
        <v>15</v>
      </c>
      <c r="F79" t="s">
        <v>428</v>
      </c>
      <c r="H79" t="b">
        <v>0</v>
      </c>
    </row>
    <row r="80" spans="1:8" x14ac:dyDescent="0.25">
      <c r="A80">
        <v>56</v>
      </c>
      <c r="B80">
        <v>27</v>
      </c>
      <c r="C80" t="s">
        <v>391</v>
      </c>
      <c r="D80">
        <v>3</v>
      </c>
      <c r="E80" t="s">
        <v>15</v>
      </c>
      <c r="F80" t="s">
        <v>428</v>
      </c>
      <c r="H80" t="b">
        <v>0</v>
      </c>
    </row>
    <row r="81" spans="1:8" x14ac:dyDescent="0.25">
      <c r="A81">
        <v>57</v>
      </c>
      <c r="B81">
        <v>27</v>
      </c>
      <c r="C81" t="s">
        <v>393</v>
      </c>
      <c r="D81">
        <v>4</v>
      </c>
      <c r="E81" t="s">
        <v>15</v>
      </c>
      <c r="F81" t="s">
        <v>428</v>
      </c>
      <c r="H81" t="b">
        <v>0</v>
      </c>
    </row>
    <row r="83" spans="1:8" x14ac:dyDescent="0.25">
      <c r="A83" t="s">
        <v>430</v>
      </c>
    </row>
    <row r="84" spans="1:8" x14ac:dyDescent="0.25">
      <c r="A84" t="s">
        <v>431</v>
      </c>
      <c r="B84" t="s">
        <v>425</v>
      </c>
      <c r="C84" t="s">
        <v>422</v>
      </c>
      <c r="D84" t="s">
        <v>426</v>
      </c>
      <c r="E84" t="s">
        <v>432</v>
      </c>
    </row>
    <row r="85" spans="1:8" x14ac:dyDescent="0.25">
      <c r="A85" t="s">
        <v>273</v>
      </c>
      <c r="B85" t="s">
        <v>428</v>
      </c>
      <c r="C85" t="s">
        <v>321</v>
      </c>
      <c r="E85" t="s">
        <v>510</v>
      </c>
    </row>
    <row r="86" spans="1:8" x14ac:dyDescent="0.25">
      <c r="A86" t="s">
        <v>273</v>
      </c>
      <c r="B86" t="s">
        <v>428</v>
      </c>
      <c r="C86" t="s">
        <v>322</v>
      </c>
      <c r="E86" t="s">
        <v>510</v>
      </c>
    </row>
    <row r="87" spans="1:8" x14ac:dyDescent="0.25">
      <c r="A87" t="s">
        <v>273</v>
      </c>
      <c r="B87" t="s">
        <v>428</v>
      </c>
      <c r="C87" t="s">
        <v>339</v>
      </c>
      <c r="E87" t="s">
        <v>142</v>
      </c>
    </row>
    <row r="88" spans="1:8" x14ac:dyDescent="0.25">
      <c r="A88" t="s">
        <v>273</v>
      </c>
      <c r="B88" t="s">
        <v>428</v>
      </c>
      <c r="C88" t="s">
        <v>340</v>
      </c>
      <c r="E88" t="s">
        <v>142</v>
      </c>
    </row>
    <row r="89" spans="1:8" x14ac:dyDescent="0.25">
      <c r="A89" t="s">
        <v>276</v>
      </c>
      <c r="B89" t="s">
        <v>428</v>
      </c>
      <c r="C89" t="s">
        <v>324</v>
      </c>
      <c r="E89" t="s">
        <v>158</v>
      </c>
    </row>
    <row r="90" spans="1:8" x14ac:dyDescent="0.25">
      <c r="A90" t="s">
        <v>276</v>
      </c>
      <c r="B90" t="s">
        <v>428</v>
      </c>
      <c r="C90" t="s">
        <v>325</v>
      </c>
      <c r="E90" t="s">
        <v>158</v>
      </c>
    </row>
    <row r="91" spans="1:8" x14ac:dyDescent="0.25">
      <c r="A91" t="s">
        <v>276</v>
      </c>
      <c r="B91" t="s">
        <v>428</v>
      </c>
      <c r="C91" t="s">
        <v>335</v>
      </c>
      <c r="E91" t="s">
        <v>210</v>
      </c>
    </row>
    <row r="92" spans="1:8" x14ac:dyDescent="0.25">
      <c r="A92" t="s">
        <v>276</v>
      </c>
      <c r="B92" t="s">
        <v>428</v>
      </c>
      <c r="C92" t="s">
        <v>336</v>
      </c>
      <c r="E92" t="s">
        <v>210</v>
      </c>
    </row>
    <row r="93" spans="1:8" x14ac:dyDescent="0.25">
      <c r="A93" t="s">
        <v>276</v>
      </c>
      <c r="B93" t="s">
        <v>428</v>
      </c>
      <c r="C93" t="s">
        <v>342</v>
      </c>
      <c r="E93" t="s">
        <v>142</v>
      </c>
    </row>
    <row r="94" spans="1:8" x14ac:dyDescent="0.25">
      <c r="A94" t="s">
        <v>276</v>
      </c>
      <c r="B94" t="s">
        <v>428</v>
      </c>
      <c r="C94" t="s">
        <v>344</v>
      </c>
      <c r="E94" t="s">
        <v>142</v>
      </c>
    </row>
    <row r="95" spans="1:8" x14ac:dyDescent="0.25">
      <c r="A95" t="s">
        <v>278</v>
      </c>
      <c r="B95" t="s">
        <v>428</v>
      </c>
      <c r="C95" t="s">
        <v>326</v>
      </c>
      <c r="E95" t="s">
        <v>499</v>
      </c>
    </row>
    <row r="96" spans="1:8" x14ac:dyDescent="0.25">
      <c r="A96" t="s">
        <v>278</v>
      </c>
      <c r="B96" t="s">
        <v>428</v>
      </c>
      <c r="C96" t="s">
        <v>366</v>
      </c>
      <c r="E96" t="s">
        <v>360</v>
      </c>
    </row>
    <row r="97" spans="1:5" x14ac:dyDescent="0.25">
      <c r="A97" t="s">
        <v>278</v>
      </c>
      <c r="B97" t="s">
        <v>429</v>
      </c>
      <c r="C97" t="s">
        <v>375</v>
      </c>
      <c r="E97" t="s">
        <v>170</v>
      </c>
    </row>
    <row r="98" spans="1:5" x14ac:dyDescent="0.25">
      <c r="A98" t="s">
        <v>272</v>
      </c>
      <c r="B98" t="s">
        <v>428</v>
      </c>
      <c r="C98" t="s">
        <v>328</v>
      </c>
      <c r="E98" t="s">
        <v>210</v>
      </c>
    </row>
    <row r="99" spans="1:5" x14ac:dyDescent="0.25">
      <c r="A99" t="s">
        <v>275</v>
      </c>
      <c r="B99" t="s">
        <v>428</v>
      </c>
      <c r="C99" t="s">
        <v>331</v>
      </c>
      <c r="E99" t="s">
        <v>210</v>
      </c>
    </row>
    <row r="100" spans="1:5" x14ac:dyDescent="0.25">
      <c r="A100" t="s">
        <v>275</v>
      </c>
      <c r="B100" t="s">
        <v>428</v>
      </c>
      <c r="C100" t="s">
        <v>333</v>
      </c>
      <c r="E100" t="s">
        <v>515</v>
      </c>
    </row>
    <row r="101" spans="1:5" x14ac:dyDescent="0.25">
      <c r="A101" t="s">
        <v>275</v>
      </c>
      <c r="B101" t="s">
        <v>428</v>
      </c>
      <c r="C101" t="s">
        <v>334</v>
      </c>
      <c r="E101" t="s">
        <v>516</v>
      </c>
    </row>
    <row r="102" spans="1:5" x14ac:dyDescent="0.25">
      <c r="A102" t="s">
        <v>274</v>
      </c>
      <c r="B102" t="s">
        <v>428</v>
      </c>
      <c r="C102" t="s">
        <v>337</v>
      </c>
      <c r="E102" t="s">
        <v>210</v>
      </c>
    </row>
    <row r="103" spans="1:5" x14ac:dyDescent="0.25">
      <c r="A103" t="s">
        <v>277</v>
      </c>
      <c r="B103" t="s">
        <v>428</v>
      </c>
      <c r="C103" t="s">
        <v>346</v>
      </c>
      <c r="E103" t="s">
        <v>142</v>
      </c>
    </row>
    <row r="104" spans="1:5" x14ac:dyDescent="0.25">
      <c r="A104" t="s">
        <v>277</v>
      </c>
      <c r="B104" t="s">
        <v>428</v>
      </c>
      <c r="C104" t="s">
        <v>348</v>
      </c>
      <c r="E104" t="s">
        <v>142</v>
      </c>
    </row>
    <row r="105" spans="1:5" x14ac:dyDescent="0.25">
      <c r="A105" t="s">
        <v>277</v>
      </c>
      <c r="B105" t="s">
        <v>428</v>
      </c>
      <c r="C105" t="s">
        <v>349</v>
      </c>
      <c r="E105" t="s">
        <v>142</v>
      </c>
    </row>
    <row r="106" spans="1:5" x14ac:dyDescent="0.25">
      <c r="A106" t="s">
        <v>277</v>
      </c>
      <c r="B106" t="s">
        <v>428</v>
      </c>
      <c r="C106" t="s">
        <v>351</v>
      </c>
      <c r="E106" t="s">
        <v>142</v>
      </c>
    </row>
    <row r="107" spans="1:5" x14ac:dyDescent="0.25">
      <c r="A107" t="s">
        <v>277</v>
      </c>
      <c r="B107" t="s">
        <v>428</v>
      </c>
      <c r="C107" t="s">
        <v>353</v>
      </c>
      <c r="E107" t="s">
        <v>142</v>
      </c>
    </row>
    <row r="108" spans="1:5" x14ac:dyDescent="0.25">
      <c r="A108" t="s">
        <v>277</v>
      </c>
      <c r="B108" t="s">
        <v>428</v>
      </c>
      <c r="C108" t="s">
        <v>354</v>
      </c>
      <c r="E108" t="s">
        <v>142</v>
      </c>
    </row>
    <row r="109" spans="1:5" x14ac:dyDescent="0.25">
      <c r="A109" t="s">
        <v>277</v>
      </c>
      <c r="B109" t="s">
        <v>428</v>
      </c>
      <c r="C109" t="s">
        <v>355</v>
      </c>
      <c r="E109" t="s">
        <v>142</v>
      </c>
    </row>
    <row r="110" spans="1:5" x14ac:dyDescent="0.25">
      <c r="A110" t="s">
        <v>277</v>
      </c>
      <c r="B110" t="s">
        <v>428</v>
      </c>
      <c r="C110" t="s">
        <v>356</v>
      </c>
      <c r="E110" t="s">
        <v>142</v>
      </c>
    </row>
    <row r="111" spans="1:5" x14ac:dyDescent="0.25">
      <c r="A111" t="s">
        <v>277</v>
      </c>
      <c r="B111" t="s">
        <v>428</v>
      </c>
      <c r="C111" t="s">
        <v>357</v>
      </c>
      <c r="E111" t="s">
        <v>142</v>
      </c>
    </row>
    <row r="112" spans="1:5" x14ac:dyDescent="0.25">
      <c r="A112" t="s">
        <v>277</v>
      </c>
      <c r="B112" t="s">
        <v>428</v>
      </c>
      <c r="C112" t="s">
        <v>358</v>
      </c>
      <c r="E112" t="s">
        <v>142</v>
      </c>
    </row>
    <row r="113" spans="1:5" x14ac:dyDescent="0.25">
      <c r="A113" t="s">
        <v>277</v>
      </c>
      <c r="B113" t="s">
        <v>428</v>
      </c>
      <c r="C113" t="s">
        <v>359</v>
      </c>
      <c r="E113" t="s">
        <v>142</v>
      </c>
    </row>
    <row r="114" spans="1:5" x14ac:dyDescent="0.25">
      <c r="A114" t="s">
        <v>277</v>
      </c>
      <c r="B114" t="s">
        <v>428</v>
      </c>
      <c r="C114" t="s">
        <v>369</v>
      </c>
      <c r="E114" t="s">
        <v>360</v>
      </c>
    </row>
    <row r="115" spans="1:5" x14ac:dyDescent="0.25">
      <c r="A115" t="s">
        <v>277</v>
      </c>
      <c r="B115" t="s">
        <v>428</v>
      </c>
      <c r="C115" t="s">
        <v>347</v>
      </c>
      <c r="E115" t="s">
        <v>170</v>
      </c>
    </row>
    <row r="116" spans="1:5" x14ac:dyDescent="0.25">
      <c r="A116" t="s">
        <v>277</v>
      </c>
      <c r="B116" t="s">
        <v>428</v>
      </c>
      <c r="C116" t="s">
        <v>352</v>
      </c>
      <c r="E116" t="s">
        <v>170</v>
      </c>
    </row>
    <row r="117" spans="1:5" x14ac:dyDescent="0.25">
      <c r="A117" t="s">
        <v>279</v>
      </c>
      <c r="B117" t="s">
        <v>428</v>
      </c>
      <c r="C117" t="s">
        <v>346</v>
      </c>
      <c r="E117" t="s">
        <v>142</v>
      </c>
    </row>
    <row r="118" spans="1:5" x14ac:dyDescent="0.25">
      <c r="A118" t="s">
        <v>279</v>
      </c>
      <c r="B118" t="s">
        <v>428</v>
      </c>
      <c r="C118" t="s">
        <v>348</v>
      </c>
      <c r="E118" t="s">
        <v>142</v>
      </c>
    </row>
    <row r="119" spans="1:5" x14ac:dyDescent="0.25">
      <c r="A119" t="s">
        <v>279</v>
      </c>
      <c r="B119" t="s">
        <v>428</v>
      </c>
      <c r="C119" t="s">
        <v>349</v>
      </c>
      <c r="E119" t="s">
        <v>142</v>
      </c>
    </row>
    <row r="120" spans="1:5" x14ac:dyDescent="0.25">
      <c r="A120" t="s">
        <v>279</v>
      </c>
      <c r="B120" t="s">
        <v>428</v>
      </c>
      <c r="C120" t="s">
        <v>361</v>
      </c>
      <c r="E120" t="s">
        <v>360</v>
      </c>
    </row>
    <row r="121" spans="1:5" x14ac:dyDescent="0.25">
      <c r="A121" t="s">
        <v>279</v>
      </c>
      <c r="B121" t="s">
        <v>428</v>
      </c>
      <c r="C121" t="s">
        <v>362</v>
      </c>
      <c r="E121" t="s">
        <v>360</v>
      </c>
    </row>
    <row r="122" spans="1:5" x14ac:dyDescent="0.25">
      <c r="A122" t="s">
        <v>279</v>
      </c>
      <c r="B122" t="s">
        <v>428</v>
      </c>
      <c r="C122" t="s">
        <v>363</v>
      </c>
      <c r="E122" t="s">
        <v>360</v>
      </c>
    </row>
    <row r="123" spans="1:5" x14ac:dyDescent="0.25">
      <c r="A123" t="s">
        <v>270</v>
      </c>
      <c r="B123" t="s">
        <v>428</v>
      </c>
      <c r="C123" t="s">
        <v>365</v>
      </c>
      <c r="E123" t="s">
        <v>360</v>
      </c>
    </row>
    <row r="124" spans="1:5" x14ac:dyDescent="0.25">
      <c r="A124" t="s">
        <v>270</v>
      </c>
      <c r="B124" t="s">
        <v>429</v>
      </c>
      <c r="C124" t="s">
        <v>370</v>
      </c>
      <c r="E124" t="s">
        <v>360</v>
      </c>
    </row>
    <row r="125" spans="1:5" x14ac:dyDescent="0.25">
      <c r="A125" t="s">
        <v>271</v>
      </c>
      <c r="B125" t="s">
        <v>429</v>
      </c>
      <c r="C125" t="s">
        <v>366</v>
      </c>
      <c r="E125" t="s">
        <v>360</v>
      </c>
    </row>
    <row r="126" spans="1:5" x14ac:dyDescent="0.25">
      <c r="A126" t="s">
        <v>283</v>
      </c>
      <c r="B126" t="s">
        <v>429</v>
      </c>
      <c r="C126" t="s">
        <v>368</v>
      </c>
      <c r="E126" t="s">
        <v>360</v>
      </c>
    </row>
    <row r="127" spans="1:5" x14ac:dyDescent="0.25">
      <c r="A127" t="s">
        <v>280</v>
      </c>
      <c r="B127" t="s">
        <v>429</v>
      </c>
      <c r="C127" t="s">
        <v>369</v>
      </c>
      <c r="E127" t="s">
        <v>360</v>
      </c>
    </row>
    <row r="128" spans="1:5" x14ac:dyDescent="0.25">
      <c r="A128" t="s">
        <v>282</v>
      </c>
      <c r="B128" t="s">
        <v>429</v>
      </c>
      <c r="C128" t="s">
        <v>371</v>
      </c>
      <c r="E128" t="s">
        <v>360</v>
      </c>
    </row>
    <row r="129" spans="1:5" x14ac:dyDescent="0.25">
      <c r="A129" t="s">
        <v>281</v>
      </c>
      <c r="B129" t="s">
        <v>429</v>
      </c>
      <c r="C129" t="s">
        <v>373</v>
      </c>
      <c r="E129" t="s">
        <v>360</v>
      </c>
    </row>
    <row r="130" spans="1:5" x14ac:dyDescent="0.25">
      <c r="A130" t="s">
        <v>284</v>
      </c>
      <c r="B130" t="s">
        <v>428</v>
      </c>
      <c r="C130" t="s">
        <v>123</v>
      </c>
      <c r="E130" t="s">
        <v>124</v>
      </c>
    </row>
    <row r="131" spans="1:5" x14ac:dyDescent="0.25">
      <c r="A131" t="s">
        <v>284</v>
      </c>
      <c r="B131" t="s">
        <v>428</v>
      </c>
      <c r="C131" t="s">
        <v>128</v>
      </c>
      <c r="E131" t="s">
        <v>129</v>
      </c>
    </row>
    <row r="132" spans="1:5" x14ac:dyDescent="0.25">
      <c r="A132" t="s">
        <v>284</v>
      </c>
      <c r="B132" t="s">
        <v>428</v>
      </c>
      <c r="C132" t="s">
        <v>130</v>
      </c>
      <c r="E132" t="s">
        <v>129</v>
      </c>
    </row>
    <row r="133" spans="1:5" x14ac:dyDescent="0.25">
      <c r="A133" t="s">
        <v>284</v>
      </c>
      <c r="B133" t="s">
        <v>428</v>
      </c>
      <c r="C133" t="s">
        <v>132</v>
      </c>
      <c r="E133" t="s">
        <v>129</v>
      </c>
    </row>
    <row r="134" spans="1:5" x14ac:dyDescent="0.25">
      <c r="A134" t="s">
        <v>286</v>
      </c>
      <c r="B134" t="s">
        <v>428</v>
      </c>
      <c r="C134" t="s">
        <v>126</v>
      </c>
      <c r="E134" t="s">
        <v>124</v>
      </c>
    </row>
    <row r="135" spans="1:5" x14ac:dyDescent="0.25">
      <c r="A135" t="s">
        <v>285</v>
      </c>
      <c r="B135" t="s">
        <v>428</v>
      </c>
      <c r="C135" t="s">
        <v>387</v>
      </c>
      <c r="E135" t="s">
        <v>386</v>
      </c>
    </row>
    <row r="136" spans="1:5" x14ac:dyDescent="0.25">
      <c r="A136" t="s">
        <v>285</v>
      </c>
      <c r="B136" t="s">
        <v>428</v>
      </c>
      <c r="C136" t="s">
        <v>389</v>
      </c>
      <c r="E136" t="s">
        <v>386</v>
      </c>
    </row>
    <row r="137" spans="1:5" x14ac:dyDescent="0.25">
      <c r="A137" t="s">
        <v>285</v>
      </c>
      <c r="B137" t="s">
        <v>428</v>
      </c>
      <c r="C137" t="s">
        <v>391</v>
      </c>
      <c r="E137" t="s">
        <v>386</v>
      </c>
    </row>
    <row r="138" spans="1:5" x14ac:dyDescent="0.25">
      <c r="A138" t="s">
        <v>285</v>
      </c>
      <c r="B138" t="s">
        <v>428</v>
      </c>
      <c r="C138" t="s">
        <v>393</v>
      </c>
      <c r="E138" t="s">
        <v>386</v>
      </c>
    </row>
    <row r="140" spans="1:5" x14ac:dyDescent="0.25">
      <c r="A140" t="s">
        <v>433</v>
      </c>
    </row>
    <row r="141" spans="1:5" x14ac:dyDescent="0.25">
      <c r="A141" t="s">
        <v>434</v>
      </c>
    </row>
    <row r="142" spans="1:5" x14ac:dyDescent="0.25">
      <c r="A142" t="s">
        <v>435</v>
      </c>
    </row>
    <row r="143" spans="1:5" x14ac:dyDescent="0.25">
      <c r="A143" t="s">
        <v>431</v>
      </c>
      <c r="B143" t="s">
        <v>422</v>
      </c>
      <c r="C143" t="s">
        <v>426</v>
      </c>
      <c r="D143" t="s">
        <v>432</v>
      </c>
      <c r="E143" t="s">
        <v>427</v>
      </c>
    </row>
    <row r="144" spans="1:5" x14ac:dyDescent="0.25">
      <c r="A144" t="s">
        <v>434</v>
      </c>
    </row>
    <row r="146" spans="2:2" x14ac:dyDescent="0.25">
      <c r="B146" s="7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A1"/>
  <sheetViews>
    <sheetView workbookViewId="0">
      <selection activeCell="C3" sqref="C3"/>
    </sheetView>
  </sheetViews>
  <sheetFormatPr defaultRowHeight="15.7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B2:AC23"/>
  <sheetViews>
    <sheetView zoomScale="85" zoomScaleNormal="85" workbookViewId="0">
      <selection activeCell="Z2" sqref="Z2:Z5"/>
    </sheetView>
  </sheetViews>
  <sheetFormatPr defaultRowHeight="15.75" x14ac:dyDescent="0.25"/>
  <cols>
    <col min="2" max="2" width="6.875" customWidth="1"/>
    <col min="3" max="3" width="20" customWidth="1"/>
    <col min="4" max="4" width="27.75" customWidth="1"/>
  </cols>
  <sheetData>
    <row r="2" spans="2:26" x14ac:dyDescent="0.25">
      <c r="M2" t="s">
        <v>20</v>
      </c>
      <c r="O2" t="s">
        <v>436</v>
      </c>
      <c r="Q2" t="s">
        <v>437</v>
      </c>
      <c r="S2" t="s">
        <v>438</v>
      </c>
      <c r="V2" t="s">
        <v>439</v>
      </c>
      <c r="X2" s="3" t="s">
        <v>102</v>
      </c>
      <c r="Z2" t="s">
        <v>68</v>
      </c>
    </row>
    <row r="3" spans="2:26" x14ac:dyDescent="0.25">
      <c r="M3" t="s">
        <v>440</v>
      </c>
      <c r="O3" s="26" t="s">
        <v>441</v>
      </c>
      <c r="Q3" t="s">
        <v>442</v>
      </c>
      <c r="S3" t="s">
        <v>6</v>
      </c>
      <c r="V3" t="s">
        <v>12</v>
      </c>
      <c r="X3" s="3" t="s">
        <v>62</v>
      </c>
      <c r="Z3" t="s">
        <v>64</v>
      </c>
    </row>
    <row r="4" spans="2:26" x14ac:dyDescent="0.25">
      <c r="M4" t="s">
        <v>443</v>
      </c>
      <c r="O4" s="26" t="s">
        <v>6</v>
      </c>
      <c r="Q4" t="s">
        <v>444</v>
      </c>
      <c r="X4" s="3" t="s">
        <v>445</v>
      </c>
      <c r="Z4" t="s">
        <v>6</v>
      </c>
    </row>
    <row r="5" spans="2:26" x14ac:dyDescent="0.25">
      <c r="B5" t="s">
        <v>446</v>
      </c>
      <c r="Q5" t="s">
        <v>21</v>
      </c>
      <c r="X5" s="3" t="s">
        <v>105</v>
      </c>
    </row>
    <row r="6" spans="2:26" x14ac:dyDescent="0.25">
      <c r="B6" t="s">
        <v>447</v>
      </c>
      <c r="X6" s="3" t="s">
        <v>66</v>
      </c>
    </row>
    <row r="7" spans="2:26" x14ac:dyDescent="0.25">
      <c r="X7" s="3" t="s">
        <v>448</v>
      </c>
    </row>
    <row r="8" spans="2:26" x14ac:dyDescent="0.25">
      <c r="B8" t="s">
        <v>449</v>
      </c>
      <c r="X8" s="3" t="s">
        <v>450</v>
      </c>
    </row>
    <row r="9" spans="2:26" x14ac:dyDescent="0.25">
      <c r="B9">
        <v>1</v>
      </c>
      <c r="C9" t="s">
        <v>451</v>
      </c>
      <c r="X9" s="3" t="s">
        <v>452</v>
      </c>
    </row>
    <row r="10" spans="2:26" x14ac:dyDescent="0.25">
      <c r="B10">
        <v>2</v>
      </c>
      <c r="C10" t="s">
        <v>453</v>
      </c>
      <c r="X10" s="3" t="s">
        <v>454</v>
      </c>
    </row>
    <row r="11" spans="2:26" x14ac:dyDescent="0.25">
      <c r="B11">
        <v>3</v>
      </c>
      <c r="C11" t="s">
        <v>455</v>
      </c>
    </row>
    <row r="12" spans="2:26" x14ac:dyDescent="0.25">
      <c r="B12">
        <v>4</v>
      </c>
      <c r="C12" t="s">
        <v>456</v>
      </c>
    </row>
    <row r="13" spans="2:26" x14ac:dyDescent="0.25">
      <c r="B13">
        <v>5</v>
      </c>
      <c r="C13" t="s">
        <v>457</v>
      </c>
      <c r="J13" s="5"/>
    </row>
    <row r="14" spans="2:26" x14ac:dyDescent="0.25">
      <c r="B14" t="s">
        <v>458</v>
      </c>
      <c r="C14" t="s">
        <v>459</v>
      </c>
      <c r="D14" t="s">
        <v>460</v>
      </c>
    </row>
    <row r="15" spans="2:26" x14ac:dyDescent="0.25">
      <c r="B15" t="s">
        <v>461</v>
      </c>
      <c r="C15" t="s">
        <v>462</v>
      </c>
      <c r="D15" t="s">
        <v>463</v>
      </c>
    </row>
    <row r="17" spans="22:29" x14ac:dyDescent="0.25">
      <c r="V17" t="s">
        <v>154</v>
      </c>
      <c r="X17" t="s">
        <v>156</v>
      </c>
      <c r="Z17" t="s">
        <v>464</v>
      </c>
      <c r="AC17" t="s">
        <v>465</v>
      </c>
    </row>
    <row r="18" spans="22:29" x14ac:dyDescent="0.25">
      <c r="V18" t="s">
        <v>223</v>
      </c>
      <c r="X18" t="s">
        <v>168</v>
      </c>
      <c r="Z18" t="s">
        <v>158</v>
      </c>
      <c r="AC18" t="s">
        <v>466</v>
      </c>
    </row>
    <row r="19" spans="22:29" x14ac:dyDescent="0.25">
      <c r="Z19" t="s">
        <v>467</v>
      </c>
      <c r="AC19" t="s">
        <v>468</v>
      </c>
    </row>
    <row r="20" spans="22:29" x14ac:dyDescent="0.25">
      <c r="Z20" t="s">
        <v>469</v>
      </c>
      <c r="AC20" t="s">
        <v>470</v>
      </c>
    </row>
    <row r="21" spans="22:29" x14ac:dyDescent="0.25">
      <c r="Z21" t="s">
        <v>471</v>
      </c>
      <c r="AC21" t="s">
        <v>472</v>
      </c>
    </row>
    <row r="22" spans="22:29" x14ac:dyDescent="0.25">
      <c r="Z22" t="s">
        <v>473</v>
      </c>
    </row>
    <row r="23" spans="22:29" x14ac:dyDescent="0.25">
      <c r="Z23" t="s">
        <v>474</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
  <dimension ref="A1:B17"/>
  <sheetViews>
    <sheetView workbookViewId="0">
      <selection activeCell="J16" sqref="J16"/>
    </sheetView>
  </sheetViews>
  <sheetFormatPr defaultColWidth="8.875" defaultRowHeight="15.75" x14ac:dyDescent="0.25"/>
  <cols>
    <col min="1" max="1" width="20.75" style="1" customWidth="1"/>
    <col min="2" max="2" width="9.25" style="1" customWidth="1"/>
    <col min="3" max="9" width="8.875" style="1" customWidth="1"/>
    <col min="10" max="16384" width="8.875" style="1"/>
  </cols>
  <sheetData>
    <row r="1" spans="1:2" x14ac:dyDescent="0.25">
      <c r="A1" s="1" t="s">
        <v>475</v>
      </c>
      <c r="B1" s="1" t="s">
        <v>476</v>
      </c>
    </row>
    <row r="2" spans="1:2" x14ac:dyDescent="0.25">
      <c r="A2" s="1" t="s">
        <v>477</v>
      </c>
    </row>
    <row r="3" spans="1:2" x14ac:dyDescent="0.25">
      <c r="A3" s="1" t="s">
        <v>478</v>
      </c>
    </row>
    <row r="4" spans="1:2" x14ac:dyDescent="0.25">
      <c r="A4" s="1" t="s">
        <v>479</v>
      </c>
    </row>
    <row r="5" spans="1:2" x14ac:dyDescent="0.25">
      <c r="A5" s="1" t="s">
        <v>480</v>
      </c>
    </row>
    <row r="6" spans="1:2" x14ac:dyDescent="0.25">
      <c r="A6" s="1" t="s">
        <v>481</v>
      </c>
    </row>
    <row r="7" spans="1:2" x14ac:dyDescent="0.25">
      <c r="A7" s="1" t="s">
        <v>482</v>
      </c>
      <c r="B7" s="1" t="b">
        <v>0</v>
      </c>
    </row>
    <row r="8" spans="1:2" x14ac:dyDescent="0.25">
      <c r="A8" s="1" t="s">
        <v>483</v>
      </c>
      <c r="B8" s="1" t="b">
        <v>0</v>
      </c>
    </row>
    <row r="9" spans="1:2" x14ac:dyDescent="0.25">
      <c r="A9" s="1" t="s">
        <v>484</v>
      </c>
      <c r="B9" s="1" t="b">
        <v>0</v>
      </c>
    </row>
    <row r="13" spans="1:2" x14ac:dyDescent="0.25">
      <c r="A13" s="2" t="s">
        <v>485</v>
      </c>
    </row>
    <row r="14" spans="1:2" x14ac:dyDescent="0.25">
      <c r="A14" s="1" t="s">
        <v>486</v>
      </c>
    </row>
    <row r="15" spans="1:2" x14ac:dyDescent="0.25">
      <c r="A15" s="1" t="s">
        <v>487</v>
      </c>
    </row>
    <row r="16" spans="1:2" x14ac:dyDescent="0.25">
      <c r="A16" s="1" t="s">
        <v>488</v>
      </c>
    </row>
    <row r="17" spans="1:1" x14ac:dyDescent="0.25">
      <c r="A17" s="1" t="s">
        <v>489</v>
      </c>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main</vt:lpstr>
      <vt:lpstr>cmd_plaxis</vt:lpstr>
      <vt:lpstr>str_2D</vt:lpstr>
      <vt:lpstr>assign_sequence</vt:lpstr>
      <vt:lpstr>output</vt:lpstr>
      <vt:lpstr>DIAGNOSTIC</vt:lpstr>
      <vt:lpstr>elements</vt:lpstr>
      <vt:lpstr>manual</vt:lpstr>
      <vt:lpstr>_xlwings.conf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 S Tazakka</cp:lastModifiedBy>
  <cp:lastPrinted>2024-09-21T01:21:06Z</cp:lastPrinted>
  <dcterms:created xsi:type="dcterms:W3CDTF">2015-01-25T11:31:25Z</dcterms:created>
  <dcterms:modified xsi:type="dcterms:W3CDTF">2026-09-15T02:36:32Z</dcterms:modified>
</cp:coreProperties>
</file>