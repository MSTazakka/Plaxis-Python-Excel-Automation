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6a47c069a6064c7b/08_PYTHON/SYNCERA_CLAUDE/02_Plaxis_Python/PLAXIS_PYTHON_V0.8.5-PUBLIC/"/>
    </mc:Choice>
  </mc:AlternateContent>
  <xr:revisionPtr revIDLastSave="3404" documentId="8_{C039AF0C-AE43-4B01-93E0-1A82A44F5EE5}" xr6:coauthVersionLast="47" xr6:coauthVersionMax="47" xr10:uidLastSave="{D260B781-9433-4FAC-850B-7AF7DC832C04}"/>
  <bookViews>
    <workbookView xWindow="25080" yWindow="-525" windowWidth="29040" windowHeight="15720" tabRatio="596" xr2:uid="{00000000-000D-0000-FFFF-FFFF00000000}"/>
  </bookViews>
  <sheets>
    <sheet name="main" sheetId="1" r:id="rId1"/>
    <sheet name="cmd_plaxis" sheetId="2" state="hidden" r:id="rId2"/>
    <sheet name="str_2D" sheetId="3" r:id="rId3"/>
    <sheet name="DIAGNOSTIC" sheetId="4" state="hidden" r:id="rId4"/>
    <sheet name="elements" sheetId="5" state="hidden" r:id="rId5"/>
    <sheet name="assign_sequence" sheetId="6" r:id="rId6"/>
    <sheet name="output" sheetId="7" r:id="rId7"/>
    <sheet name="manual" sheetId="10" state="hidden" r:id="rId8"/>
    <sheet name="_xlwings.conf" sheetId="11" state="hidden" r:id="rId9"/>
  </sheets>
  <functionGroups builtInGroupCount="19"/>
  <definedNames>
    <definedName name="_xlnm._FilterDatabase" localSheetId="5" hidden="1">assign_sequence!$A$6:$BJ$86</definedName>
    <definedName name="_xlnm._FilterDatabase" localSheetId="0" hidden="1">main!$B$12:$AA$33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13" i="3" l="1"/>
  <c r="AI13" i="3"/>
  <c r="AH13" i="3"/>
  <c r="AJ12" i="3"/>
  <c r="AI12" i="3"/>
  <c r="AH12" i="3"/>
  <c r="AJ11" i="3"/>
  <c r="AI11" i="3"/>
  <c r="AH11" i="3"/>
  <c r="A38" i="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J16" i="1"/>
  <c r="AI16" i="1"/>
  <c r="AJ14" i="1"/>
  <c r="AI14" i="1"/>
  <c r="AJ13" i="1"/>
  <c r="AI13" i="1"/>
  <c r="C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12" authorId="0" shapeId="0" xr:uid="{00000000-0006-0000-0000-000001000000}">
      <text>
        <r>
          <rPr>
            <sz val="12"/>
            <color theme="1"/>
            <rFont val="Calibri"/>
            <family val="2"/>
            <scheme val="minor"/>
          </rPr>
          <t>Merdeka Sandi Tazakka:
only for SSC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6" authorId="0" shapeId="0" xr:uid="{00000000-0006-0000-0200-000001000000}">
      <text>
        <r>
          <rPr>
            <sz val="12"/>
            <color theme="1"/>
            <rFont val="Calibri"/>
            <family val="2"/>
            <scheme val="minor"/>
          </rPr>
          <t>Merdeka Sandi Tazakka:
only for SSC</t>
        </r>
      </text>
    </comment>
  </commentList>
</comments>
</file>

<file path=xl/sharedStrings.xml><?xml version="1.0" encoding="utf-8"?>
<sst xmlns="http://schemas.openxmlformats.org/spreadsheetml/2006/main" count="2674" uniqueCount="605">
  <si>
    <t>description</t>
  </si>
  <si>
    <t>value</t>
  </si>
  <si>
    <t>units</t>
  </si>
  <si>
    <t>surface_level</t>
  </si>
  <si>
    <t>m+ref</t>
  </si>
  <si>
    <t>water_level</t>
  </si>
  <si>
    <t>manual</t>
  </si>
  <si>
    <t>-</t>
  </si>
  <si>
    <t>water_depth</t>
  </si>
  <si>
    <t>m</t>
  </si>
  <si>
    <t>x_min</t>
  </si>
  <si>
    <t>y_min</t>
  </si>
  <si>
    <t>SPT</t>
  </si>
  <si>
    <t>Port</t>
  </si>
  <si>
    <t>x_max</t>
  </si>
  <si>
    <t>A</t>
  </si>
  <si>
    <t>Password</t>
  </si>
  <si>
    <t>Sm$eyE+v$@^4&gt;HxA</t>
  </si>
  <si>
    <t>y_max</t>
  </si>
  <si>
    <t>plaxis_type</t>
  </si>
  <si>
    <t>2D_PS</t>
  </si>
  <si>
    <t>Darendeli</t>
  </si>
  <si>
    <t>Basic Parameter</t>
  </si>
  <si>
    <t>Hardening Soil Model</t>
  </si>
  <si>
    <t>HSS Model</t>
  </si>
  <si>
    <t>HSS (optional), SSC (mandatory)</t>
  </si>
  <si>
    <t>Soft Soil Creep Parameter</t>
  </si>
  <si>
    <t>Groundwater (beware of permeability units in Plaxis)</t>
  </si>
  <si>
    <t>type</t>
  </si>
  <si>
    <t>soil_layers</t>
  </si>
  <si>
    <t>gunsat</t>
  </si>
  <si>
    <t>gsat</t>
  </si>
  <si>
    <t>depth_top</t>
  </si>
  <si>
    <t>depth_bot</t>
  </si>
  <si>
    <t>N_top</t>
  </si>
  <si>
    <t>N_bot</t>
  </si>
  <si>
    <t>c</t>
  </si>
  <si>
    <t>phi</t>
  </si>
  <si>
    <t>psi</t>
  </si>
  <si>
    <t>Rinter</t>
  </si>
  <si>
    <t>E50/N</t>
  </si>
  <si>
    <t>pref</t>
  </si>
  <si>
    <t>E50_ref</t>
  </si>
  <si>
    <t>Eoed_ref</t>
  </si>
  <si>
    <t>Eur_ref</t>
  </si>
  <si>
    <t>G0_ref</t>
  </si>
  <si>
    <t>g07</t>
  </si>
  <si>
    <t>RD</t>
  </si>
  <si>
    <t>PI</t>
  </si>
  <si>
    <t>OCR</t>
  </si>
  <si>
    <t>POP</t>
  </si>
  <si>
    <t>einit</t>
  </si>
  <si>
    <t>lambda</t>
  </si>
  <si>
    <t>kappa</t>
  </si>
  <si>
    <t>mu</t>
  </si>
  <si>
    <t>mode</t>
  </si>
  <si>
    <t>clay_frac</t>
  </si>
  <si>
    <t>silt_frac</t>
  </si>
  <si>
    <t>k_ver</t>
  </si>
  <si>
    <t>k_hor_ratio</t>
  </si>
  <si>
    <t>Ele_top</t>
  </si>
  <si>
    <t>Ele_bot</t>
  </si>
  <si>
    <t>clay-SSC</t>
  </si>
  <si>
    <t>layer1 - soil</t>
  </si>
  <si>
    <t>layer2 - soil</t>
  </si>
  <si>
    <t>layer3 - soil</t>
  </si>
  <si>
    <t>clay-HS</t>
  </si>
  <si>
    <t>layer4 - soil</t>
  </si>
  <si>
    <t>automatic</t>
  </si>
  <si>
    <t>row</t>
  </si>
  <si>
    <t>depth</t>
  </si>
  <si>
    <t>BH-1A</t>
  </si>
  <si>
    <t>BH-1B</t>
  </si>
  <si>
    <t>Dummy</t>
  </si>
  <si>
    <t>initializerectangular SoilContour 0.0 -50.0 150.0 5.0</t>
  </si>
  <si>
    <t>borehole 0</t>
  </si>
  <si>
    <t>set Borehole_1.Head 3.0</t>
  </si>
  <si>
    <t>soillayer 4.0</t>
  </si>
  <si>
    <t>soillayer 7.0</t>
  </si>
  <si>
    <t>soillayer 9.0</t>
  </si>
  <si>
    <t>soillayer 12.0</t>
  </si>
  <si>
    <t>soilmat "Identification" "Layer1 - madeground" "SoilModel" "HS Small" "DrainageType" "Drained" "gammaUnsat" 18.0 "gammaSat" 18.0 "E50Ref" 87012.0 "PowerM" 0.5 "pRef" 100.0 "G0Ref" 295235.0 "gamma07" 7.6e-05 "cRef" 0.1 "phi" 25.0 "psi" 0.0 "InterfaceStrengthDetermination" "Manual" "Rinter" 0.8 "GroundwaterClassificationType" "USDA" "GroundwaterSoilClassUSDA" "Sand" "GwUseDefaults" True "GwDefaultsMethod" "From grain size distribution" "ClayFraction" 10.0 "SiltFraction" 20.0</t>
  </si>
  <si>
    <t>soilmat "Identification" "layer2 - gravel" "SoilModel" "HS Small" "DrainageType" "Drained" "gammaUnsat" 19.0 "gammaSat" 19.0 "E50Ref" 111010.0 "PowerM" 0.7 "pRef" 100.0 "G0Ref" 397585.0 "gamma07" 0.000104 "cRef" 0.0 "phi" 39.0 "psi" 0.0 "InterfaceStrengthDetermination" "Manual" "Rinter" 0.8 "GroundwaterClassificationType" "USDA" "GroundwaterSoilClassUSDA" "Sand" "GwUseDefaults" True "GwDefaultsMethod" "From grain size distribution" "ClayFraction" 50.0 "SiltFraction" 40.0</t>
  </si>
  <si>
    <t>soilmat "Identification" "layer3 - clay" "SoilModel" "HS Small" "DrainageType" "Undrained A" "gammaUnsat" 20.0 "gammaSat" 20.0 "E50Ref" 157712.0 "PowerM" 0.9 "pRef" 100.0 "G0Ref" 297290.0 "gamma07" 0.00034 "cRef" 5.0 "phi" 25.0 "psi" 0.0 "InterfaceStrengthDetermination" "Manual" "Rinter" 0.8 "GwUseDefaults" False "PermHorizontalPrimary" 1.5 "PermVertical" 1.0</t>
  </si>
  <si>
    <t>soilmat "Identification" "layer4 - clay 2" "SoilModel" "HS Small" "DrainageType" "Drained" "gammaUnsat" 20.0 "gammaSat" 20.0 "E50Ref" 159386.0 "PowerM" 1.0 "pRef" 100.0 "G0Ref" 300445.0 "gamma07" 0.000453 "cRef" 5.0 "phi" 25.0 "psi" 0.0 "InterfaceStrengthDetermination" "Manual" "Rinter" 0.8 "GroundwaterClassificationType" "USDA" "GroundwaterSoilClassUSDA" "Sand" "GwUseDefaults" True "GwDefaultsMethod" "From grain size distribution"</t>
  </si>
  <si>
    <t>set Soillayer_1.Soil.Material Layer1Madeground</t>
  </si>
  <si>
    <t>set Soillayer_2.Soil.Material Layer2Gravel</t>
  </si>
  <si>
    <t>set Soillayer_3.Soil.Material Layer3Clay</t>
  </si>
  <si>
    <t>set Soillayer_4.Soil.Material Layer4Clay2</t>
  </si>
  <si>
    <t>_set Soillayer_1.Zones[0].Top 5.0</t>
  </si>
  <si>
    <t>_set Soillayer_1.Zones[0].Bottom 1.0</t>
  </si>
  <si>
    <t>_set Soillayer_2.Zones[0].Bottom -6.0</t>
  </si>
  <si>
    <t>_set Soillayer_3.Zones[0].Bottom -15.0</t>
  </si>
  <si>
    <t>_set Soillayer_4.Zones[0].Bottom -27.0</t>
  </si>
  <si>
    <t>mesh_density</t>
  </si>
  <si>
    <t>user input</t>
  </si>
  <si>
    <t>mesh_generation</t>
  </si>
  <si>
    <t>included</t>
  </si>
  <si>
    <t>parent - must fill row values</t>
  </si>
  <si>
    <t>sand-HS</t>
  </si>
  <si>
    <t>Backfill</t>
  </si>
  <si>
    <t>N/A</t>
  </si>
  <si>
    <t>by_grain_size</t>
  </si>
  <si>
    <t>Clayfill</t>
  </si>
  <si>
    <t>Rock Armor</t>
  </si>
  <si>
    <t>by_grain_s</t>
  </si>
  <si>
    <t>sandkey</t>
  </si>
  <si>
    <t>SOIL_1_PVDIMPROVED</t>
  </si>
  <si>
    <t>SOIL_2_PVDIMPROVED</t>
  </si>
  <si>
    <t>SOIL_3_PVDIMPROVED</t>
  </si>
  <si>
    <t>linear-elastic</t>
  </si>
  <si>
    <t>Concrete_E30GPa_nu0.15</t>
  </si>
  <si>
    <t>Concrete_E20GPa_nu0.2</t>
  </si>
  <si>
    <t>Load_name</t>
  </si>
  <si>
    <t>cad_layer</t>
  </si>
  <si>
    <t>x1</t>
  </si>
  <si>
    <t>y1</t>
  </si>
  <si>
    <t>x2</t>
  </si>
  <si>
    <t>y2</t>
  </si>
  <si>
    <t>load_no</t>
  </si>
  <si>
    <t>load_model</t>
  </si>
  <si>
    <t>qx_start</t>
  </si>
  <si>
    <t>qy_start</t>
  </si>
  <si>
    <t>Plate elements</t>
  </si>
  <si>
    <t>plate_name</t>
  </si>
  <si>
    <t>plate_type</t>
  </si>
  <si>
    <t>plate_model</t>
  </si>
  <si>
    <t>plate_THK(m)</t>
  </si>
  <si>
    <t>plate_E(Mpa)</t>
  </si>
  <si>
    <t>plate_A1(m2)</t>
  </si>
  <si>
    <t>v_nu</t>
  </si>
  <si>
    <t>plate_w(kN/m/m)</t>
  </si>
  <si>
    <t>interface</t>
  </si>
  <si>
    <t>prevent_punching</t>
  </si>
  <si>
    <t>isotropic</t>
  </si>
  <si>
    <t>plate_A2(m2)</t>
  </si>
  <si>
    <t>Mp(kNm/m)</t>
  </si>
  <si>
    <t>Np1tens(kN/m)</t>
  </si>
  <si>
    <t>Np2tens(kN/m)</t>
  </si>
  <si>
    <t>plate_I(m4)</t>
  </si>
  <si>
    <t>plate_EI</t>
  </si>
  <si>
    <t>plate_EA1</t>
  </si>
  <si>
    <t>plate_EA2</t>
  </si>
  <si>
    <t>diaphragm_wall</t>
  </si>
  <si>
    <t>elastoplastic</t>
  </si>
  <si>
    <t>both</t>
  </si>
  <si>
    <t>no</t>
  </si>
  <si>
    <t>elastic</t>
  </si>
  <si>
    <t>Tunnel Element</t>
  </si>
  <si>
    <t>tunnel_position = g_i.tunnel(x, y + radius), always double check your tunnel position in real DXF drawing</t>
  </si>
  <si>
    <t>tunnel_name</t>
  </si>
  <si>
    <t>liner_position</t>
  </si>
  <si>
    <t>liner_model</t>
  </si>
  <si>
    <t>C_ref</t>
  </si>
  <si>
    <t>str_volume</t>
  </si>
  <si>
    <t>yes</t>
  </si>
  <si>
    <t>Tendon/Round Bar (Node to Node elements)</t>
  </si>
  <si>
    <t>nn_name</t>
  </si>
  <si>
    <t>nn_type</t>
  </si>
  <si>
    <t>nn_model</t>
  </si>
  <si>
    <t>L_spacing(m)</t>
  </si>
  <si>
    <t>nn_E(Mpa)</t>
  </si>
  <si>
    <t>nn_A(m2)</t>
  </si>
  <si>
    <t>Fmax_tens</t>
  </si>
  <si>
    <t>Fmax_comp</t>
  </si>
  <si>
    <t>nn_EA</t>
  </si>
  <si>
    <t>Nail/Grout anchor  (embedded beam elements)</t>
  </si>
  <si>
    <t>anc_name</t>
  </si>
  <si>
    <t>anc_type</t>
  </si>
  <si>
    <t>anc_model</t>
  </si>
  <si>
    <t>anc_E(Mpa)</t>
  </si>
  <si>
    <t>anc_w(kN/m/m)</t>
  </si>
  <si>
    <t>diameter(m)</t>
  </si>
  <si>
    <t>resistance_model</t>
  </si>
  <si>
    <t>Tskin_start</t>
  </si>
  <si>
    <t>Tskin_end</t>
  </si>
  <si>
    <t>Nptens(kN/m)</t>
  </si>
  <si>
    <t>Struts (Node to Node elements)</t>
  </si>
  <si>
    <t>Struts (fixed-end element)</t>
  </si>
  <si>
    <t>fe_name</t>
  </si>
  <si>
    <t>fe_type</t>
  </si>
  <si>
    <t>fe_model</t>
  </si>
  <si>
    <t>Direction_x</t>
  </si>
  <si>
    <t>Pile  (embedded beam elements)</t>
  </si>
  <si>
    <t>pile_name</t>
  </si>
  <si>
    <t>diameter/width(m)</t>
  </si>
  <si>
    <t>pile_THK(m)</t>
  </si>
  <si>
    <t>Fmax</t>
  </si>
  <si>
    <t>geogrid</t>
  </si>
  <si>
    <t>geogrid_name</t>
  </si>
  <si>
    <t>gg_type</t>
  </si>
  <si>
    <t>gg_model</t>
  </si>
  <si>
    <t>gg_E(Mpa)</t>
  </si>
  <si>
    <t>gg_A1(m2)</t>
  </si>
  <si>
    <t>gg_A2(m2)</t>
  </si>
  <si>
    <t>Np1(kN/m)</t>
  </si>
  <si>
    <t>Np2(kN/m)</t>
  </si>
  <si>
    <t>gg_EA1</t>
  </si>
  <si>
    <t>gg_EA2</t>
  </si>
  <si>
    <t>soil cut and fill (polygon elements)</t>
  </si>
  <si>
    <t>maximum limit</t>
  </si>
  <si>
    <t>spoly_name</t>
  </si>
  <si>
    <t>spoly_type</t>
  </si>
  <si>
    <t>polygon_no</t>
  </si>
  <si>
    <t>material</t>
  </si>
  <si>
    <t>drains_name</t>
  </si>
  <si>
    <t>drain_no</t>
  </si>
  <si>
    <t>waterline_name</t>
  </si>
  <si>
    <t>waterline_no</t>
  </si>
  <si>
    <t>fill_1</t>
  </si>
  <si>
    <t>fill</t>
  </si>
  <si>
    <t>pvd_1</t>
  </si>
  <si>
    <t>pvd</t>
  </si>
  <si>
    <t>pvd_2</t>
  </si>
  <si>
    <t>pvd_3</t>
  </si>
  <si>
    <t>pvd_4</t>
  </si>
  <si>
    <t>gwflowbc_1</t>
  </si>
  <si>
    <t>waterboundary_closed</t>
  </si>
  <si>
    <t>fill_2</t>
  </si>
  <si>
    <t>pvd_5</t>
  </si>
  <si>
    <t>gwflowbc_2</t>
  </si>
  <si>
    <t>pvd_6</t>
  </si>
  <si>
    <t>pvd_7</t>
  </si>
  <si>
    <t>pvd_8</t>
  </si>
  <si>
    <t>fill_3</t>
  </si>
  <si>
    <t>pvd_9</t>
  </si>
  <si>
    <t>pvd_10</t>
  </si>
  <si>
    <t>pvd_11</t>
  </si>
  <si>
    <t>pvd_12</t>
  </si>
  <si>
    <t>fill_4</t>
  </si>
  <si>
    <t>pvd_13</t>
  </si>
  <si>
    <t>pvd_14</t>
  </si>
  <si>
    <t>pvd_15</t>
  </si>
  <si>
    <t>pvd_16</t>
  </si>
  <si>
    <t>fill_5</t>
  </si>
  <si>
    <t>pvd_17</t>
  </si>
  <si>
    <t>pvd_18</t>
  </si>
  <si>
    <t>pvd_19</t>
  </si>
  <si>
    <t>pvd_20</t>
  </si>
  <si>
    <t>fill_6</t>
  </si>
  <si>
    <t>pvd_21</t>
  </si>
  <si>
    <t>pvd_22</t>
  </si>
  <si>
    <t>pvd_23</t>
  </si>
  <si>
    <t>pvd_24</t>
  </si>
  <si>
    <t>fill_7</t>
  </si>
  <si>
    <t>pvd_25</t>
  </si>
  <si>
    <t>pvd_26</t>
  </si>
  <si>
    <t>pvd_27</t>
  </si>
  <si>
    <t>pvd_28</t>
  </si>
  <si>
    <t>fill_8</t>
  </si>
  <si>
    <t>pvd_29</t>
  </si>
  <si>
    <t>pvd_30</t>
  </si>
  <si>
    <t>pvd_31</t>
  </si>
  <si>
    <t>pvd_32</t>
  </si>
  <si>
    <t>fill_9</t>
  </si>
  <si>
    <t>pvd_33</t>
  </si>
  <si>
    <t>pvd_34</t>
  </si>
  <si>
    <t>pvd_35</t>
  </si>
  <si>
    <t>pvd_36</t>
  </si>
  <si>
    <t>fill_10</t>
  </si>
  <si>
    <t>pvd_37</t>
  </si>
  <si>
    <t>pvd_38</t>
  </si>
  <si>
    <t>pvd_39</t>
  </si>
  <si>
    <t>pvd_40</t>
  </si>
  <si>
    <t>fill_11</t>
  </si>
  <si>
    <t>pvd_41</t>
  </si>
  <si>
    <t>pvd_42</t>
  </si>
  <si>
    <t>pvd_43</t>
  </si>
  <si>
    <t>pvd_44</t>
  </si>
  <si>
    <t>fill_12</t>
  </si>
  <si>
    <t>pvd_45</t>
  </si>
  <si>
    <t>pvd_46</t>
  </si>
  <si>
    <t>pvd_47</t>
  </si>
  <si>
    <t>pvd_48</t>
  </si>
  <si>
    <t>soil_replacement_1</t>
  </si>
  <si>
    <t>soil_replacement</t>
  </si>
  <si>
    <t>pvd_49</t>
  </si>
  <si>
    <t>pvd_50</t>
  </si>
  <si>
    <t>pvd_51</t>
  </si>
  <si>
    <t>pvd_52</t>
  </si>
  <si>
    <t>pvd_53</t>
  </si>
  <si>
    <t>pvd_54</t>
  </si>
  <si>
    <t>pvd_55</t>
  </si>
  <si>
    <t>pvd_56</t>
  </si>
  <si>
    <t>soil_replacement_2</t>
  </si>
  <si>
    <t>pvd_57</t>
  </si>
  <si>
    <t>pvd_58</t>
  </si>
  <si>
    <t>pvd_59</t>
  </si>
  <si>
    <t>pvd_60</t>
  </si>
  <si>
    <t>soil_replacement_3</t>
  </si>
  <si>
    <t>pvd_61</t>
  </si>
  <si>
    <t>pvd_62</t>
  </si>
  <si>
    <t>pvd_63</t>
  </si>
  <si>
    <t>pvd_64</t>
  </si>
  <si>
    <t>soil_replacement_4</t>
  </si>
  <si>
    <t>pvd_65</t>
  </si>
  <si>
    <t>pvd_66</t>
  </si>
  <si>
    <t>pvd_67</t>
  </si>
  <si>
    <t>pvd_68</t>
  </si>
  <si>
    <t>soil_replacement_5</t>
  </si>
  <si>
    <t>pvd_69</t>
  </si>
  <si>
    <t>pvd_70</t>
  </si>
  <si>
    <t>pvd_71</t>
  </si>
  <si>
    <t>pvd_72</t>
  </si>
  <si>
    <t>pvd_73</t>
  </si>
  <si>
    <t>pvd_74</t>
  </si>
  <si>
    <t>str_volume_1</t>
  </si>
  <si>
    <t>volume_profile</t>
  </si>
  <si>
    <t>pvd_75</t>
  </si>
  <si>
    <t>pvd_76</t>
  </si>
  <si>
    <t>pvd_77</t>
  </si>
  <si>
    <t>pvd_78</t>
  </si>
  <si>
    <t>pvd_79</t>
  </si>
  <si>
    <t>pvd_80</t>
  </si>
  <si>
    <t>str_volume_2</t>
  </si>
  <si>
    <t>Workbook</t>
  </si>
  <si>
    <t>Module</t>
  </si>
  <si>
    <t>Timestamp</t>
  </si>
  <si>
    <t>PHASE DISCOVERY</t>
  </si>
  <si>
    <t>col</t>
  </si>
  <si>
    <t>name</t>
  </si>
  <si>
    <t>calc_type</t>
  </si>
  <si>
    <t>default_name</t>
  </si>
  <si>
    <t>Initial</t>
  </si>
  <si>
    <t>k0procedure</t>
  </si>
  <si>
    <t>Phase 1</t>
  </si>
  <si>
    <t>plastic</t>
  </si>
  <si>
    <t>Phase 2</t>
  </si>
  <si>
    <t>Phase 3</t>
  </si>
  <si>
    <t>Phase 4</t>
  </si>
  <si>
    <t>consolidation</t>
  </si>
  <si>
    <t>Phase 5</t>
  </si>
  <si>
    <t>Phase 6</t>
  </si>
  <si>
    <t>Phase 7</t>
  </si>
  <si>
    <t>Phase 8</t>
  </si>
  <si>
    <t>Phase 9</t>
  </si>
  <si>
    <t>Phase 10</t>
  </si>
  <si>
    <t>Phase 11</t>
  </si>
  <si>
    <t>Phase 12</t>
  </si>
  <si>
    <t>Phase 13</t>
  </si>
  <si>
    <t>Phase 14</t>
  </si>
  <si>
    <t>Phase 15</t>
  </si>
  <si>
    <t>Phase 16</t>
  </si>
  <si>
    <t>Phase 17</t>
  </si>
  <si>
    <t>Phase 18</t>
  </si>
  <si>
    <t>Phase 19</t>
  </si>
  <si>
    <t>Phase 20</t>
  </si>
  <si>
    <t>Phase 21</t>
  </si>
  <si>
    <t>Phase 22</t>
  </si>
  <si>
    <t>Phase 23</t>
  </si>
  <si>
    <t>Phase 24</t>
  </si>
  <si>
    <t>Phase 25</t>
  </si>
  <si>
    <t>Phase 26</t>
  </si>
  <si>
    <t>Phase 27</t>
  </si>
  <si>
    <t>SCAN LOG</t>
  </si>
  <si>
    <t>label</t>
  </si>
  <si>
    <t>pno</t>
  </si>
  <si>
    <t>raw_val</t>
  </si>
  <si>
    <t>action</t>
  </si>
  <si>
    <t>prestress</t>
  </si>
  <si>
    <t>supported</t>
  </si>
  <si>
    <t>activate</t>
  </si>
  <si>
    <t>Polygon_1</t>
  </si>
  <si>
    <t>Polygon_2</t>
  </si>
  <si>
    <t>D</t>
  </si>
  <si>
    <t>deactivate</t>
  </si>
  <si>
    <t>Polygon_3</t>
  </si>
  <si>
    <t>Polygon_4</t>
  </si>
  <si>
    <t>Polygon_5</t>
  </si>
  <si>
    <t>Polygon_6</t>
  </si>
  <si>
    <t>Polygon_7</t>
  </si>
  <si>
    <t>Polygon_8</t>
  </si>
  <si>
    <t>Polygon_9</t>
  </si>
  <si>
    <t>Polygon_10</t>
  </si>
  <si>
    <t>Polygon_11</t>
  </si>
  <si>
    <t>Polygon_12</t>
  </si>
  <si>
    <t>Polygon_13</t>
  </si>
  <si>
    <t>Polygon_14</t>
  </si>
  <si>
    <t>Polygon_15</t>
  </si>
  <si>
    <t>Polygon_16</t>
  </si>
  <si>
    <t>Polygon_17</t>
  </si>
  <si>
    <t>Polygon_18</t>
  </si>
  <si>
    <t>Polygon_19</t>
  </si>
  <si>
    <t>Drain_1</t>
  </si>
  <si>
    <t>Drain_2</t>
  </si>
  <si>
    <t>Drain_3</t>
  </si>
  <si>
    <t>Drain_4</t>
  </si>
  <si>
    <t>Drain_5</t>
  </si>
  <si>
    <t>Drain_6</t>
  </si>
  <si>
    <t>Drain_7</t>
  </si>
  <si>
    <t>Drain_8</t>
  </si>
  <si>
    <t>Drain_9</t>
  </si>
  <si>
    <t>Drain_10</t>
  </si>
  <si>
    <t>Drain_11</t>
  </si>
  <si>
    <t>Drain_12</t>
  </si>
  <si>
    <t>Drain_13</t>
  </si>
  <si>
    <t>Drain_14</t>
  </si>
  <si>
    <t>Drain_15</t>
  </si>
  <si>
    <t>Drain_16</t>
  </si>
  <si>
    <t>Drain_17</t>
  </si>
  <si>
    <t>Drain_18</t>
  </si>
  <si>
    <t>Drain_19</t>
  </si>
  <si>
    <t>Drain_20</t>
  </si>
  <si>
    <t>Drain_21</t>
  </si>
  <si>
    <t>Drain_22</t>
  </si>
  <si>
    <t>Drain_23</t>
  </si>
  <si>
    <t>Drain_24</t>
  </si>
  <si>
    <t>Drain_25</t>
  </si>
  <si>
    <t>Drain_26</t>
  </si>
  <si>
    <t>Drain_27</t>
  </si>
  <si>
    <t>Drain_28</t>
  </si>
  <si>
    <t>Drain_29</t>
  </si>
  <si>
    <t>Drain_30</t>
  </si>
  <si>
    <t>Drain_31</t>
  </si>
  <si>
    <t>Drain_32</t>
  </si>
  <si>
    <t>Drain_33</t>
  </si>
  <si>
    <t>Drain_34</t>
  </si>
  <si>
    <t>Drain_35</t>
  </si>
  <si>
    <t>Drain_36</t>
  </si>
  <si>
    <t>Drain_37</t>
  </si>
  <si>
    <t>Drain_38</t>
  </si>
  <si>
    <t>Drain_39</t>
  </si>
  <si>
    <t>Drain_40</t>
  </si>
  <si>
    <t>Drain_41</t>
  </si>
  <si>
    <t>Drain_42</t>
  </si>
  <si>
    <t>Drain_43</t>
  </si>
  <si>
    <t>Drain_44</t>
  </si>
  <si>
    <t>Drain_45</t>
  </si>
  <si>
    <t>Drain_46</t>
  </si>
  <si>
    <t>Drain_47</t>
  </si>
  <si>
    <t>Drain_48</t>
  </si>
  <si>
    <t>Drain_49</t>
  </si>
  <si>
    <t>Drain_50</t>
  </si>
  <si>
    <t>Drain_51</t>
  </si>
  <si>
    <t>Drain_52</t>
  </si>
  <si>
    <t>Drain_53</t>
  </si>
  <si>
    <t>Drain_54</t>
  </si>
  <si>
    <t>Drain_55</t>
  </si>
  <si>
    <t>Drain_56</t>
  </si>
  <si>
    <t>Drain_57</t>
  </si>
  <si>
    <t>Drain_58</t>
  </si>
  <si>
    <t>Drain_59</t>
  </si>
  <si>
    <t>Drain_60</t>
  </si>
  <si>
    <t>Drain_61</t>
  </si>
  <si>
    <t>Drain_62</t>
  </si>
  <si>
    <t>Drain_63</t>
  </si>
  <si>
    <t>Drain_64</t>
  </si>
  <si>
    <t>Drain_65</t>
  </si>
  <si>
    <t>Drain_66</t>
  </si>
  <si>
    <t>Drain_67</t>
  </si>
  <si>
    <t>Drain_68</t>
  </si>
  <si>
    <t>Drain_69</t>
  </si>
  <si>
    <t>Drain_70</t>
  </si>
  <si>
    <t>Drain_71</t>
  </si>
  <si>
    <t>Drain_72</t>
  </si>
  <si>
    <t>Drain_73</t>
  </si>
  <si>
    <t>Drain_74</t>
  </si>
  <si>
    <t>Drain_75</t>
  </si>
  <si>
    <t>Drain_76</t>
  </si>
  <si>
    <t>Drain_77</t>
  </si>
  <si>
    <t>Drain_78</t>
  </si>
  <si>
    <t>Drain_79</t>
  </si>
  <si>
    <t>Drain_80</t>
  </si>
  <si>
    <t>GWFlowBC_1</t>
  </si>
  <si>
    <t>GWFlowBC_2</t>
  </si>
  <si>
    <t>PHASE ACTIONS (for codegen)</t>
  </si>
  <si>
    <t>phase</t>
  </si>
  <si>
    <t>row_type</t>
  </si>
  <si>
    <t>soil_polygon</t>
  </si>
  <si>
    <t>drain</t>
  </si>
  <si>
    <t>gwflowbc</t>
  </si>
  <si>
    <t>WARNINGS</t>
  </si>
  <si>
    <t>(none)</t>
  </si>
  <si>
    <t>PRESTRESS SUPPORTED ROWS</t>
  </si>
  <si>
    <t>K0_procedure</t>
  </si>
  <si>
    <t>t</t>
  </si>
  <si>
    <t>upd_mesh</t>
  </si>
  <si>
    <t>⚠ upd_mesh=yes on Phase 1 -&gt; all subsequent phases also have updated mesh (PLAXIS chaining)</t>
  </si>
  <si>
    <t>ID</t>
  </si>
  <si>
    <t>Sandkey</t>
  </si>
  <si>
    <t>Consolidation</t>
  </si>
  <si>
    <t>PVD</t>
  </si>
  <si>
    <t>PRELOAD</t>
  </si>
  <si>
    <t>REMOVAL</t>
  </si>
  <si>
    <t>TRIMMING</t>
  </si>
  <si>
    <t>ROCKARMOR CLAYLINER</t>
  </si>
  <si>
    <t>PLAXIS Label</t>
  </si>
  <si>
    <t>parent_plate</t>
  </si>
  <si>
    <t>Phase 28</t>
  </si>
  <si>
    <t>Phase 29</t>
  </si>
  <si>
    <t>Phase 30</t>
  </si>
  <si>
    <t>Phase 31</t>
  </si>
  <si>
    <t>Phase 32</t>
  </si>
  <si>
    <t>Phase 33</t>
  </si>
  <si>
    <t>Phase 34</t>
  </si>
  <si>
    <t>Phase 35</t>
  </si>
  <si>
    <t>Phase 36</t>
  </si>
  <si>
    <t>Phase 37</t>
  </si>
  <si>
    <t>Phase 38</t>
  </si>
  <si>
    <t>Phase 39</t>
  </si>
  <si>
    <t>Phase 40</t>
  </si>
  <si>
    <t>Phase 41</t>
  </si>
  <si>
    <t>Phase 42</t>
  </si>
  <si>
    <t>Phase 43</t>
  </si>
  <si>
    <t>Phase 44</t>
  </si>
  <si>
    <t>Phase 45</t>
  </si>
  <si>
    <t>Phase 46</t>
  </si>
  <si>
    <t>Phase 47</t>
  </si>
  <si>
    <t>Phase 48</t>
  </si>
  <si>
    <t>Phase 49</t>
  </si>
  <si>
    <t>Phase 50</t>
  </si>
  <si>
    <t>Soil1Pvdimproved</t>
  </si>
  <si>
    <t>Soil2Pvdimproved</t>
  </si>
  <si>
    <t>Soil3Pvdimproved</t>
  </si>
  <si>
    <t>ConcreteE30GpaNu015</t>
  </si>
  <si>
    <t>RockArmor</t>
  </si>
  <si>
    <t>BoreholeWaterLevel_1</t>
  </si>
  <si>
    <t>global_waterlevel</t>
  </si>
  <si>
    <t>waterboundary_closed_1</t>
  </si>
  <si>
    <t>waterboundary_closed_2</t>
  </si>
  <si>
    <t>saved_model_name</t>
  </si>
  <si>
    <t>tunnel_radial_chart</t>
  </si>
  <si>
    <t>curve</t>
  </si>
  <si>
    <t>plots</t>
  </si>
  <si>
    <t>x_axis</t>
  </si>
  <si>
    <t>y_axis</t>
  </si>
  <si>
    <t>element</t>
  </si>
  <si>
    <t>curve_node_1</t>
  </si>
  <si>
    <t>curve_node</t>
  </si>
  <si>
    <t>node</t>
  </si>
  <si>
    <t>curve_stresspoint_1</t>
  </si>
  <si>
    <t>curve_stresspoint</t>
  </si>
  <si>
    <t>stresspoint</t>
  </si>
  <si>
    <t>curve_stresspoint_2</t>
  </si>
  <si>
    <t>curve_stresspoint_3</t>
  </si>
  <si>
    <t>bottom</t>
  </si>
  <si>
    <t>RD-PI</t>
  </si>
  <si>
    <t>direct</t>
  </si>
  <si>
    <t>Alpan</t>
  </si>
  <si>
    <t>2D_axis</t>
  </si>
  <si>
    <t>mid_layer</t>
  </si>
  <si>
    <t>Hardin-D</t>
  </si>
  <si>
    <t>sand-HSS</t>
  </si>
  <si>
    <t>3D</t>
  </si>
  <si>
    <t>Ishibasi</t>
  </si>
  <si>
    <t>sand-SSC</t>
  </si>
  <si>
    <t>Required python module.</t>
  </si>
  <si>
    <t>xlwings, pandas, numpy, plotly</t>
  </si>
  <si>
    <t>clay-HSS</t>
  </si>
  <si>
    <t>How to use</t>
  </si>
  <si>
    <t>silt-HS</t>
  </si>
  <si>
    <t>you need anaconda installed on your PC and install required module</t>
  </si>
  <si>
    <t>silt-HSS</t>
  </si>
  <si>
    <t>Don’t change table headers and sheet name.</t>
  </si>
  <si>
    <t>silt-SSC</t>
  </si>
  <si>
    <t>firstly input all your SPT in SPT tab. After than go to Data to input your soil profiles with soil parameter</t>
  </si>
  <si>
    <t>in SPT tab, you can add as many as you want the SPT data. The rule are the far left SPT is your SPT with highest data points (not necessarily the deepest borehole) and the header name is "depth" and "desired SPT name" just follow the format.</t>
  </si>
  <si>
    <t>In Data tab, cell with yellow color is mandatory input. You need to manually input the cell with that yellow color</t>
  </si>
  <si>
    <t>version</t>
  </si>
  <si>
    <t>Change</t>
  </si>
  <si>
    <t>Created by</t>
  </si>
  <si>
    <t>v0.1</t>
  </si>
  <si>
    <t>initial version</t>
  </si>
  <si>
    <t>Deka</t>
  </si>
  <si>
    <t>tendon</t>
  </si>
  <si>
    <t>sheet_pile</t>
  </si>
  <si>
    <t>steel_bar</t>
  </si>
  <si>
    <t>secant_pile</t>
  </si>
  <si>
    <t>steel_beam</t>
  </si>
  <si>
    <t>soldier_pile</t>
  </si>
  <si>
    <t>wood</t>
  </si>
  <si>
    <t>concrete_wall</t>
  </si>
  <si>
    <t>other</t>
  </si>
  <si>
    <t>concrete_slab</t>
  </si>
  <si>
    <t>will_be_updated_manually</t>
  </si>
  <si>
    <t>Interpreter_Win</t>
  </si>
  <si>
    <t>python</t>
  </si>
  <si>
    <t>Interpreter_Mac</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</si>
  <si>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</si>
  <si>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</si>
  <si>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</si>
  <si>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</si>
  <si>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</si>
  <si>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</si>
  <si>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</si>
  <si>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</si>
  <si>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</si>
  <si>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</si>
  <si>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</si>
  <si>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</si>
  <si>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example_1</t>
  </si>
  <si>
    <t>p'</t>
  </si>
  <si>
    <t>q</t>
  </si>
  <si>
    <t>$</t>
  </si>
  <si>
    <t>plot_curve_points</t>
  </si>
  <si>
    <t>axis V/H</t>
  </si>
  <si>
    <t>step</t>
  </si>
  <si>
    <t>available data extraction</t>
  </si>
  <si>
    <t>yes_without_initial</t>
  </si>
  <si>
    <t>sc4: done — 0 elements ██████████ 100%</t>
  </si>
  <si>
    <t>sc5: done — 108 elements ██████████ 100%</t>
  </si>
  <si>
    <t>EXAMPLE 1.xlsm</t>
  </si>
  <si>
    <t>D:\OneDrive\08_PYTHON\SYNCERA_CLAUDE\02_Plaxis_Python\PLAXIS_PYTHON_V0.8.5-PUBLIC\scripts\sc6_staged_construction.py</t>
  </si>
  <si>
    <t>sc9: done — 157/157 cells ██████████ 100%</t>
  </si>
  <si>
    <t xml:space="preserve">If you already drew all curve points in the DXF, no need to press this button.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</si>
</sst>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5" x14ac:knownFonts="1">
    <font>
      <sz val="12"/>
      <color theme="1"/>
      <name val="Calibri"/>
      <family val="2"/>
      <scheme val="minor"/>
    </font>
    <font>
      <sz val="9"/>
      <color theme="1"/>
      <name val="Segoe UI"/>
      <family val="2"/>
    </font>
    <font>
      <sz val="10"/>
      <color theme="1"/>
      <name val="Arial"/>
      <family val="2"/>
    </font>
    <font>
      <b/>
      <sz val="12"/>
      <color theme="1"/>
      <name val="Calibri"/>
      <family val="2"/>
      <scheme val="minor"/>
    </font>
    <font>
      <sz val="12"/>
      <color theme="1"/>
      <name val="Calibri"/>
      <family val="2"/>
      <scheme val="minor"/>
    </font>
    <font>
      <b/>
      <sz val="11"/>
      <color theme="3"/>
      <name val="Segoe UI"/>
      <family val="2"/>
    </font>
    <font>
      <sz val="12"/>
      <color theme="2"/>
      <name val="Calibri"/>
      <family val="2"/>
      <scheme val="minor"/>
    </font>
    <font>
      <sz val="10"/>
      <name val="Arial"/>
      <family val="2"/>
    </font>
    <font>
      <b/>
      <sz val="9"/>
      <color rgb="FF3F3F3F"/>
      <name val="Segoe UI"/>
      <family val="2"/>
    </font>
    <font>
      <sz val="9"/>
      <color rgb="FF9C5700"/>
      <name val="Segoe UI"/>
      <family val="2"/>
    </font>
    <font>
      <sz val="12"/>
      <color rgb="FFFF0000"/>
      <name val="Calibri"/>
      <family val="2"/>
      <scheme val="minor"/>
    </font>
    <font>
      <u/>
      <sz val="12"/>
      <color theme="10"/>
      <name val="Calibri"/>
      <family val="2"/>
      <scheme val="minor"/>
    </font>
    <font>
      <sz val="10"/>
      <color theme="1"/>
      <name val="Arial Unicode MS"/>
      <family val="2"/>
    </font>
    <font>
      <sz val="12"/>
      <color rgb="FF000000"/>
      <name val="Calibri"/>
      <family val="2"/>
    </font>
    <font>
      <sz val="8"/>
      <name val="Calibri"/>
      <family val="2"/>
      <scheme val="minor"/>
    </font>
  </fonts>
  <fills count="18">
    <fill>
      <patternFill patternType="none"/>
    </fill>
    <fill>
      <patternFill patternType="gray125"/>
    </fill>
    <fill>
      <patternFill patternType="solid">
        <fgColor rgb="FFFFFFCC"/>
      </patternFill>
    </fill>
    <fill>
      <patternFill patternType="solid">
        <fgColor theme="9" tint="0.79998168889431442"/>
        <bgColor indexed="64"/>
      </patternFill>
    </fill>
    <fill>
      <patternFill patternType="solid">
        <fgColor rgb="FFFFEB9C"/>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rgb="FFC8E6C8"/>
        <bgColor indexed="64"/>
      </patternFill>
    </fill>
    <fill>
      <patternFill patternType="solid">
        <fgColor rgb="FFFFFFFF"/>
        <bgColor indexed="64"/>
      </patternFill>
    </fill>
    <fill>
      <patternFill patternType="solid">
        <fgColor rgb="FFF2F2F2"/>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EEFC6"/>
        <bgColor indexed="64"/>
      </patternFill>
    </fill>
  </fills>
  <borders count="19">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rgb="FFB2B2B2"/>
      </left>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diagonal/>
    </border>
    <border>
      <left/>
      <right/>
      <top/>
      <bottom style="medium">
        <color theme="4" tint="0.39997558519241921"/>
      </bottom>
      <diagonal/>
    </border>
    <border>
      <left style="thin">
        <color rgb="FFB2B2B2"/>
      </left>
      <right style="thin">
        <color rgb="FFB2B2B2"/>
      </right>
      <top/>
      <bottom/>
      <diagonal/>
    </border>
    <border>
      <left style="thin">
        <color indexed="64"/>
      </left>
      <right/>
      <top/>
      <bottom/>
      <diagonal/>
    </border>
    <border>
      <left style="thin">
        <color rgb="FFB2B2B2"/>
      </left>
      <right style="thin">
        <color rgb="FFB2B2B2"/>
      </right>
      <top style="thin">
        <color rgb="FFB2B2B2"/>
      </top>
      <bottom/>
      <diagonal/>
    </border>
  </borders>
  <cellStyleXfs count="17">
    <xf numFmtId="0" fontId="0" fillId="0" borderId="0"/>
    <xf numFmtId="9" fontId="2" fillId="0" borderId="0"/>
    <xf numFmtId="44" fontId="2" fillId="0" borderId="0"/>
    <xf numFmtId="42" fontId="2" fillId="0" borderId="0"/>
    <xf numFmtId="43" fontId="2" fillId="0" borderId="0"/>
    <xf numFmtId="41" fontId="2" fillId="0" borderId="0"/>
    <xf numFmtId="0" fontId="4" fillId="2" borderId="1"/>
    <xf numFmtId="0" fontId="1" fillId="0" borderId="0"/>
    <xf numFmtId="0" fontId="5" fillId="0" borderId="0"/>
    <xf numFmtId="0" fontId="1" fillId="0" borderId="0"/>
    <xf numFmtId="0" fontId="7" fillId="0" borderId="0"/>
    <xf numFmtId="0" fontId="8" fillId="13" borderId="13"/>
    <xf numFmtId="0" fontId="5" fillId="0" borderId="15"/>
    <xf numFmtId="0" fontId="9" fillId="4" borderId="0"/>
    <xf numFmtId="0" fontId="11" fillId="0" borderId="0"/>
    <xf numFmtId="0" fontId="9" fillId="4" borderId="0"/>
    <xf numFmtId="0" fontId="8" fillId="13" borderId="13"/>
  </cellStyleXfs>
  <cellXfs count="93">
    <xf numFmtId="0" fontId="0" fillId="0" borderId="0" xfId="0"/>
    <xf numFmtId="0" fontId="0" fillId="0" borderId="0" xfId="0" applyAlignment="1">
      <alignment vertical="center"/>
    </xf>
    <xf numFmtId="0" fontId="3" fillId="0" borderId="0" xfId="0" applyFont="1" applyAlignment="1">
      <alignment vertical="center"/>
    </xf>
    <xf numFmtId="0" fontId="0" fillId="0" borderId="2" xfId="0" applyBorder="1"/>
    <xf numFmtId="0" fontId="0" fillId="2" borderId="1" xfId="6" applyFont="1" applyAlignment="1">
      <alignment horizontal="left"/>
    </xf>
    <xf numFmtId="0" fontId="0" fillId="2" borderId="1" xfId="6" applyFont="1"/>
    <xf numFmtId="0" fontId="5" fillId="4" borderId="3" xfId="8" applyFill="1" applyBorder="1" applyAlignment="1">
      <alignment horizontal="left"/>
    </xf>
    <xf numFmtId="0" fontId="6" fillId="0" borderId="2" xfId="0" applyFont="1" applyBorder="1"/>
    <xf numFmtId="0" fontId="6" fillId="3" borderId="2" xfId="0" applyFont="1" applyFill="1" applyBorder="1"/>
    <xf numFmtId="0" fontId="5" fillId="4" borderId="2" xfId="8" applyFill="1" applyBorder="1" applyAlignment="1">
      <alignment horizontal="left"/>
    </xf>
    <xf numFmtId="0" fontId="0" fillId="2" borderId="2" xfId="6" applyFont="1" applyBorder="1" applyAlignment="1">
      <alignment horizontal="right"/>
    </xf>
    <xf numFmtId="0" fontId="0" fillId="0" borderId="2" xfId="0" applyBorder="1" applyAlignment="1">
      <alignment horizontal="left"/>
    </xf>
    <xf numFmtId="0" fontId="0" fillId="0" borderId="2" xfId="0" applyBorder="1" applyAlignment="1">
      <alignment horizontal="right"/>
    </xf>
    <xf numFmtId="0" fontId="0" fillId="5" borderId="0" xfId="0" applyFill="1"/>
    <xf numFmtId="0" fontId="6" fillId="3" borderId="4" xfId="0" applyFont="1" applyFill="1" applyBorder="1"/>
    <xf numFmtId="0" fontId="6" fillId="0" borderId="0" xfId="0" applyFont="1"/>
    <xf numFmtId="0" fontId="6" fillId="3" borderId="5" xfId="0" applyFont="1" applyFill="1" applyBorder="1"/>
    <xf numFmtId="0" fontId="6" fillId="6" borderId="5" xfId="0" applyFont="1" applyFill="1" applyBorder="1"/>
    <xf numFmtId="0" fontId="0" fillId="0" borderId="5" xfId="0" applyBorder="1"/>
    <xf numFmtId="0" fontId="5" fillId="7" borderId="6" xfId="8" applyFill="1" applyBorder="1" applyAlignment="1">
      <alignment horizontal="left"/>
    </xf>
    <xf numFmtId="0" fontId="0" fillId="0" borderId="7" xfId="0" applyBorder="1"/>
    <xf numFmtId="0" fontId="0" fillId="0" borderId="8" xfId="0" applyBorder="1"/>
    <xf numFmtId="0" fontId="5" fillId="4" borderId="6" xfId="8" applyFill="1" applyBorder="1" applyAlignment="1">
      <alignment horizontal="left"/>
    </xf>
    <xf numFmtId="0" fontId="5" fillId="6" borderId="6" xfId="8" applyFill="1" applyBorder="1" applyAlignment="1">
      <alignment horizontal="left"/>
    </xf>
    <xf numFmtId="0" fontId="5" fillId="7" borderId="10" xfId="8" applyFill="1" applyBorder="1" applyAlignment="1">
      <alignment horizontal="left"/>
    </xf>
    <xf numFmtId="0" fontId="5" fillId="8" borderId="0" xfId="8" applyFill="1" applyAlignment="1">
      <alignment horizontal="left"/>
    </xf>
    <xf numFmtId="0" fontId="0" fillId="0" borderId="0" xfId="0" applyAlignment="1">
      <alignment horizontal="left"/>
    </xf>
    <xf numFmtId="0" fontId="0" fillId="2" borderId="11" xfId="6" applyFont="1" applyBorder="1" applyAlignment="1">
      <alignment horizontal="left"/>
    </xf>
    <xf numFmtId="0" fontId="0" fillId="9" borderId="7" xfId="0" applyFill="1" applyBorder="1"/>
    <xf numFmtId="0" fontId="0" fillId="9" borderId="8" xfId="0" applyFill="1" applyBorder="1"/>
    <xf numFmtId="0" fontId="5" fillId="8" borderId="6" xfId="8" applyFill="1" applyBorder="1" applyAlignment="1">
      <alignment horizontal="left"/>
    </xf>
    <xf numFmtId="11" fontId="0" fillId="2" borderId="1" xfId="6" applyNumberFormat="1" applyFont="1" applyAlignment="1">
      <alignment horizontal="left"/>
    </xf>
    <xf numFmtId="0" fontId="0" fillId="10" borderId="0" xfId="0" applyFill="1" applyAlignment="1">
      <alignment horizontal="left"/>
    </xf>
    <xf numFmtId="0" fontId="0" fillId="10" borderId="0" xfId="0" applyFill="1"/>
    <xf numFmtId="0" fontId="0" fillId="0" borderId="9" xfId="0" applyBorder="1"/>
    <xf numFmtId="0" fontId="0" fillId="2" borderId="2" xfId="6" applyFont="1" applyBorder="1" applyAlignment="1">
      <alignment horizontal="left"/>
    </xf>
    <xf numFmtId="0" fontId="0" fillId="11" borderId="2" xfId="0" applyFill="1" applyBorder="1" applyAlignment="1">
      <alignment horizontal="left"/>
    </xf>
    <xf numFmtId="0" fontId="0" fillId="12" borderId="2" xfId="0" applyFill="1" applyBorder="1" applyAlignment="1">
      <alignment horizontal="left"/>
    </xf>
    <xf numFmtId="0" fontId="0" fillId="12" borderId="2" xfId="0" applyFill="1" applyBorder="1"/>
    <xf numFmtId="0" fontId="8" fillId="13" borderId="2" xfId="11" applyBorder="1"/>
    <xf numFmtId="0" fontId="0" fillId="2" borderId="5" xfId="6" applyFont="1" applyBorder="1" applyAlignment="1">
      <alignment horizontal="left"/>
    </xf>
    <xf numFmtId="0" fontId="0" fillId="0" borderId="4" xfId="0" applyBorder="1"/>
    <xf numFmtId="0" fontId="0" fillId="12" borderId="6" xfId="0" applyFill="1" applyBorder="1" applyAlignment="1">
      <alignment horizontal="left"/>
    </xf>
    <xf numFmtId="0" fontId="0" fillId="0" borderId="14" xfId="0" applyBorder="1" applyAlignment="1">
      <alignment horizontal="left"/>
    </xf>
    <xf numFmtId="0" fontId="0" fillId="2" borderId="16" xfId="6" applyFont="1" applyBorder="1" applyAlignment="1">
      <alignment horizontal="left"/>
    </xf>
    <xf numFmtId="0" fontId="0" fillId="2" borderId="6" xfId="6" applyFont="1" applyBorder="1" applyAlignment="1">
      <alignment horizontal="left"/>
    </xf>
    <xf numFmtId="0" fontId="5" fillId="13" borderId="2" xfId="12" applyFill="1" applyBorder="1" applyAlignment="1">
      <alignment horizontal="left"/>
    </xf>
    <xf numFmtId="0" fontId="5" fillId="6" borderId="14" xfId="8" applyFill="1" applyBorder="1" applyAlignment="1">
      <alignment horizontal="left"/>
    </xf>
    <xf numFmtId="0" fontId="5" fillId="7" borderId="14" xfId="8" applyFill="1" applyBorder="1" applyAlignment="1">
      <alignment horizontal="left"/>
    </xf>
    <xf numFmtId="0" fontId="5" fillId="7" borderId="17" xfId="8" applyFill="1" applyBorder="1" applyAlignment="1">
      <alignment horizontal="left"/>
    </xf>
    <xf numFmtId="0" fontId="5" fillId="8" borderId="14" xfId="8" applyFill="1" applyBorder="1" applyAlignment="1">
      <alignment horizontal="left"/>
    </xf>
    <xf numFmtId="0" fontId="5" fillId="4" borderId="14" xfId="8" applyFill="1" applyBorder="1" applyAlignment="1">
      <alignment horizontal="left"/>
    </xf>
    <xf numFmtId="0" fontId="4" fillId="2" borderId="2" xfId="6" applyBorder="1"/>
    <xf numFmtId="11" fontId="0" fillId="2" borderId="2" xfId="6" applyNumberFormat="1" applyFont="1" applyBorder="1" applyAlignment="1">
      <alignment horizontal="left"/>
    </xf>
    <xf numFmtId="0" fontId="9" fillId="4" borderId="0" xfId="13"/>
    <xf numFmtId="0" fontId="10" fillId="0" borderId="0" xfId="0" applyFont="1"/>
    <xf numFmtId="0" fontId="0" fillId="14" borderId="0" xfId="0" applyFill="1"/>
    <xf numFmtId="0" fontId="3" fillId="14" borderId="0" xfId="0" applyFont="1" applyFill="1"/>
    <xf numFmtId="0" fontId="3" fillId="14" borderId="0" xfId="0" applyFont="1" applyFill="1" applyAlignment="1">
      <alignment horizontal="left"/>
    </xf>
    <xf numFmtId="0" fontId="0" fillId="0" borderId="2" xfId="6" applyFont="1" applyFill="1" applyBorder="1" applyAlignment="1">
      <alignment horizontal="left"/>
    </xf>
    <xf numFmtId="0" fontId="8" fillId="0" borderId="2" xfId="11" applyFill="1" applyBorder="1"/>
    <xf numFmtId="0" fontId="0" fillId="15" borderId="0" xfId="0" applyFill="1"/>
    <xf numFmtId="0" fontId="8" fillId="15" borderId="2" xfId="11" applyFill="1" applyBorder="1"/>
    <xf numFmtId="0" fontId="0" fillId="15" borderId="2" xfId="0" applyFill="1" applyBorder="1"/>
    <xf numFmtId="0" fontId="0" fillId="15" borderId="4" xfId="0" applyFill="1" applyBorder="1"/>
    <xf numFmtId="0" fontId="10" fillId="15" borderId="0" xfId="0" applyFont="1" applyFill="1"/>
    <xf numFmtId="0" fontId="11" fillId="10" borderId="0" xfId="14" applyFill="1" applyAlignment="1">
      <alignment horizontal="left"/>
    </xf>
    <xf numFmtId="0" fontId="0" fillId="16" borderId="0" xfId="0" applyFill="1"/>
    <xf numFmtId="0" fontId="0" fillId="12" borderId="14" xfId="0" applyFill="1" applyBorder="1" applyAlignment="1">
      <alignment horizontal="left"/>
    </xf>
    <xf numFmtId="0" fontId="0" fillId="0" borderId="6" xfId="0" applyBorder="1"/>
    <xf numFmtId="0" fontId="0" fillId="12" borderId="0" xfId="0" applyFill="1"/>
    <xf numFmtId="0" fontId="0" fillId="2" borderId="0" xfId="6" applyFont="1" applyBorder="1" applyAlignment="1">
      <alignment horizontal="left"/>
    </xf>
    <xf numFmtId="0" fontId="5" fillId="13" borderId="0" xfId="12" applyFill="1" applyBorder="1" applyAlignment="1">
      <alignment horizontal="left"/>
    </xf>
    <xf numFmtId="0" fontId="0" fillId="11" borderId="14" xfId="0" applyFill="1" applyBorder="1" applyAlignment="1">
      <alignment horizontal="left"/>
    </xf>
    <xf numFmtId="0" fontId="0" fillId="2" borderId="18" xfId="6" applyFont="1" applyBorder="1" applyAlignment="1">
      <alignment horizontal="left"/>
    </xf>
    <xf numFmtId="22" fontId="0" fillId="0" borderId="0" xfId="0" applyNumberFormat="1"/>
    <xf numFmtId="0" fontId="9" fillId="4" borderId="0" xfId="15"/>
    <xf numFmtId="0" fontId="8" fillId="0" borderId="2" xfId="16" applyFill="1" applyBorder="1"/>
    <xf numFmtId="0" fontId="8" fillId="13" borderId="2" xfId="16" applyBorder="1"/>
    <xf numFmtId="0" fontId="12" fillId="0" borderId="2" xfId="0" applyFont="1" applyBorder="1"/>
    <xf numFmtId="0" fontId="4" fillId="2" borderId="2" xfId="6" applyBorder="1" applyAlignment="1">
      <alignment horizontal="left"/>
    </xf>
    <xf numFmtId="0" fontId="4" fillId="2" borderId="5" xfId="6" applyBorder="1" applyAlignment="1">
      <alignment horizontal="left"/>
    </xf>
    <xf numFmtId="0" fontId="0" fillId="16" borderId="2" xfId="0" applyFill="1" applyBorder="1"/>
    <xf numFmtId="0" fontId="4" fillId="2" borderId="1" xfId="6" applyAlignment="1">
      <alignment horizontal="right"/>
    </xf>
    <xf numFmtId="0" fontId="0" fillId="0" borderId="12" xfId="0" applyBorder="1"/>
    <xf numFmtId="0" fontId="0" fillId="17" borderId="2" xfId="0" applyFill="1" applyBorder="1"/>
    <xf numFmtId="0" fontId="5" fillId="0" borderId="0" xfId="8" applyAlignment="1">
      <alignment horizontal="left"/>
    </xf>
    <xf numFmtId="0" fontId="0" fillId="0" borderId="0" xfId="6" applyFont="1" applyFill="1" applyBorder="1" applyAlignment="1">
      <alignment horizontal="right"/>
    </xf>
    <xf numFmtId="0" fontId="0" fillId="0" borderId="0" xfId="0" applyAlignment="1">
      <alignment horizontal="center"/>
    </xf>
    <xf numFmtId="0" fontId="0" fillId="0" borderId="12" xfId="0" applyBorder="1" applyAlignment="1">
      <alignment horizontal="left"/>
    </xf>
    <xf numFmtId="0" fontId="0" fillId="0" borderId="8" xfId="0" applyBorder="1"/>
    <xf numFmtId="0" fontId="0" fillId="0" borderId="9" xfId="0" applyBorder="1"/>
    <xf numFmtId="0" fontId="0" fillId="0" borderId="12" xfId="0" applyBorder="1" applyAlignment="1">
      <alignment horizont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xfId="12" builtinId="18"/>
    <cellStyle name="Heading 4" xfId="8" builtinId="19"/>
    <cellStyle name="Hyperlink" xfId="14" builtinId="8"/>
    <cellStyle name="Neutral" xfId="13" builtinId="28"/>
    <cellStyle name="Neutral 2" xfId="15" xr:uid="{00000000-0005-0000-0000-00000F000000}"/>
    <cellStyle name="Normal" xfId="0" builtinId="0"/>
    <cellStyle name="Normal 2" xfId="7" xr:uid="{00000000-0005-0000-0000-000007000000}"/>
    <cellStyle name="Normal 3" xfId="9" xr:uid="{00000000-0005-0000-0000-000009000000}"/>
    <cellStyle name="Note" xfId="6" builtinId="10"/>
    <cellStyle name="Output" xfId="11" builtinId="21"/>
    <cellStyle name="Output 2" xfId="16" xr:uid="{00000000-0005-0000-0000-000010000000}"/>
    <cellStyle name="Percent" xfId="1" xr:uid="{00000000-0005-0000-0000-000001000000}"/>
    <cellStyle name="Standaard 2" xfId="10" xr:uid="{00000000-0005-0000-0000-00000A000000}"/>
  </cellStyles>
  <dxfs count="235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14568</xdr:colOff>
      <xdr:row>8</xdr:row>
      <xdr:rowOff>22972</xdr:rowOff>
    </xdr:from>
    <xdr:to>
      <xdr:col>1</xdr:col>
      <xdr:colOff>1014693</xdr:colOff>
      <xdr:row>9</xdr:row>
      <xdr:rowOff>126066</xdr:rowOff>
    </xdr:to>
    <xdr:sp macro="[0]!ToggleSoilProfile" textlink="">
      <xdr:nvSpPr>
        <xdr:cNvPr id="4" name="brn_Button1027">
          <a:extLst>
            <a:ext uri="{FF2B5EF4-FFF2-40B4-BE49-F238E27FC236}">
              <a16:creationId xmlns:a16="http://schemas.microsoft.com/office/drawing/2014/main" id="{0F5CB294-64EE-4C3C-60CE-D0384982C277}"/>
            </a:ext>
          </a:extLst>
        </xdr:cNvPr>
        <xdr:cNvSpPr/>
      </xdr:nvSpPr>
      <xdr:spPr>
        <a:xfrm>
          <a:off x="361950" y="1647825"/>
          <a:ext cx="1000125" cy="30480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 Soil +/-</a:t>
          </a:r>
        </a:p>
      </xdr:txBody>
    </xdr:sp>
    <xdr:clientData/>
  </xdr:twoCellAnchor>
  <xdr:twoCellAnchor editAs="absolute">
    <xdr:from>
      <xdr:col>20</xdr:col>
      <xdr:colOff>565897</xdr:colOff>
      <xdr:row>1</xdr:row>
      <xdr:rowOff>169769</xdr:rowOff>
    </xdr:from>
    <xdr:to>
      <xdr:col>22</xdr:col>
      <xdr:colOff>500903</xdr:colOff>
      <xdr:row>3</xdr:row>
      <xdr:rowOff>155201</xdr:rowOff>
    </xdr:to>
    <xdr:sp macro="[0]!plaxis_py" textlink="">
      <xdr:nvSpPr>
        <xdr:cNvPr id="6" name="brn_Button1030">
          <a:extLst>
            <a:ext uri="{FF2B5EF4-FFF2-40B4-BE49-F238E27FC236}">
              <a16:creationId xmlns:a16="http://schemas.microsoft.com/office/drawing/2014/main" id="{18F2B3D6-EF21-D0CE-6A5C-7B84B015834B}"/>
            </a:ext>
          </a:extLst>
        </xdr:cNvPr>
        <xdr:cNvSpPr/>
      </xdr:nvSpPr>
      <xdr:spPr>
        <a:xfrm>
          <a:off x="15230475" y="371475"/>
          <a:ext cx="1476375" cy="40005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Plaxis Python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66675</xdr:rowOff>
        </xdr:from>
        <xdr:to>
          <xdr:col>1</xdr:col>
          <xdr:colOff>1857375</xdr:colOff>
          <xdr:row>2</xdr:row>
          <xdr:rowOff>66675</xdr:rowOff>
        </xdr:to>
        <xdr:sp macro="" textlink="">
          <xdr:nvSpPr>
            <xdr:cNvPr id="131075" name="Button 3" hidden="1">
              <a:extLst>
                <a:ext uri="{63B3BB69-23CF-44E3-9099-C40C66FF867C}">
                  <a14:compatExt spid="_x0000_s131075"/>
                </a:ext>
                <a:ext uri="{FF2B5EF4-FFF2-40B4-BE49-F238E27FC236}">
                  <a16:creationId xmlns:a16="http://schemas.microsoft.com/office/drawing/2014/main" id="{00000000-0008-0000-0200-000003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 Extract DXF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104775</xdr:rowOff>
        </xdr:from>
        <xdr:to>
          <xdr:col>5</xdr:col>
          <xdr:colOff>200025</xdr:colOff>
          <xdr:row>2</xdr:row>
          <xdr:rowOff>104775</xdr:rowOff>
        </xdr:to>
        <xdr:sp macro="" textlink="">
          <xdr:nvSpPr>
            <xdr:cNvPr id="131076" name="Button 4" hidden="1">
              <a:extLst>
                <a:ext uri="{63B3BB69-23CF-44E3-9099-C40C66FF867C}">
                  <a14:compatExt spid="_x0000_s131076"/>
                </a:ext>
                <a:ext uri="{FF2B5EF4-FFF2-40B4-BE49-F238E27FC236}">
                  <a16:creationId xmlns:a16="http://schemas.microsoft.com/office/drawing/2014/main" id="{00000000-0008-0000-0200-000004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STR  Generator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0</xdr:row>
          <xdr:rowOff>104775</xdr:rowOff>
        </xdr:from>
        <xdr:to>
          <xdr:col>1</xdr:col>
          <xdr:colOff>2076450</xdr:colOff>
          <xdr:row>2</xdr:row>
          <xdr:rowOff>152400</xdr:rowOff>
        </xdr:to>
        <xdr:sp macro="" textlink="">
          <xdr:nvSpPr>
            <xdr:cNvPr id="134146" name="Button 2" hidden="1">
              <a:extLst>
                <a:ext uri="{63B3BB69-23CF-44E3-9099-C40C66FF867C}">
                  <a14:compatExt spid="_x0000_s134146"/>
                </a:ext>
                <a:ext uri="{FF2B5EF4-FFF2-40B4-BE49-F238E27FC236}">
                  <a16:creationId xmlns:a16="http://schemas.microsoft.com/office/drawing/2014/main" id="{00000000-0008-0000-0500-000002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Staging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114300</xdr:rowOff>
        </xdr:from>
        <xdr:to>
          <xdr:col>0</xdr:col>
          <xdr:colOff>657225</xdr:colOff>
          <xdr:row>2</xdr:row>
          <xdr:rowOff>171450</xdr:rowOff>
        </xdr:to>
        <xdr:sp macro="" textlink="">
          <xdr:nvSpPr>
            <xdr:cNvPr id="134153" name="Button 9" hidden="1">
              <a:extLst>
                <a:ext uri="{63B3BB69-23CF-44E3-9099-C40C66FF867C}">
                  <a14:compatExt spid="_x0000_s134153"/>
                </a:ext>
                <a:ext uri="{FF2B5EF4-FFF2-40B4-BE49-F238E27FC236}">
                  <a16:creationId xmlns:a16="http://schemas.microsoft.com/office/drawing/2014/main" id="{00000000-0008-0000-0500-000009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76200</xdr:rowOff>
        </xdr:from>
        <xdr:to>
          <xdr:col>0</xdr:col>
          <xdr:colOff>647700</xdr:colOff>
          <xdr:row>2</xdr:row>
          <xdr:rowOff>133350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600-0000013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114300</xdr:rowOff>
        </xdr:from>
        <xdr:to>
          <xdr:col>1</xdr:col>
          <xdr:colOff>1276350</xdr:colOff>
          <xdr:row>2</xdr:row>
          <xdr:rowOff>123825</xdr:rowOff>
        </xdr:to>
        <xdr:sp macro="" textlink="">
          <xdr:nvSpPr>
            <xdr:cNvPr id="144389" name="Button 5" hidden="1">
              <a:extLst>
                <a:ext uri="{63B3BB69-23CF-44E3-9099-C40C66FF867C}">
                  <a14:compatExt spid="_x0000_s144389"/>
                </a:ext>
                <a:ext uri="{FF2B5EF4-FFF2-40B4-BE49-F238E27FC236}">
                  <a16:creationId xmlns:a16="http://schemas.microsoft.com/office/drawing/2014/main" id="{00000000-0008-0000-0600-0000053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Curve Points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190500</xdr:colOff>
      <xdr:row>14</xdr:row>
      <xdr:rowOff>50182</xdr:rowOff>
    </xdr:from>
    <xdr:to>
      <xdr:col>12</xdr:col>
      <xdr:colOff>371475</xdr:colOff>
      <xdr:row>29</xdr:row>
      <xdr:rowOff>83981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5038725" y="2650507"/>
          <a:ext cx="5667375" cy="3034174"/>
        </a:xfrm>
        <a:prstGeom prst="rect">
          <a:avLst/>
        </a:prstGeom>
        <a:ln>
          <a:prstDash val="solid"/>
        </a:ln>
      </xdr:spPr>
    </xdr:pic>
    <xdr:clientData/>
  </xdr:twoCellAnchor>
  <xdr:twoCellAnchor editAs="oneCell">
    <xdr:from>
      <xdr:col>9</xdr:col>
      <xdr:colOff>409575</xdr:colOff>
      <xdr:row>14</xdr:row>
      <xdr:rowOff>114736</xdr:rowOff>
    </xdr:from>
    <xdr:to>
      <xdr:col>15</xdr:col>
      <xdr:colOff>277503</xdr:colOff>
      <xdr:row>29</xdr:row>
      <xdr:rowOff>48566</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8686800" y="2715061"/>
          <a:ext cx="3982728" cy="2934205"/>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Sm$eyE+v$@%5e4%3eHxA"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2:AJ346"/>
  <sheetViews>
    <sheetView showGridLines="0" tabSelected="1" zoomScaleNormal="100" workbookViewId="0">
      <selection activeCell="O348" sqref="O348"/>
    </sheetView>
  </sheetViews>
  <sheetFormatPr defaultRowHeight="15.75" outlineLevelRow="1" x14ac:dyDescent="0.25"/>
  <cols>
    <col min="1" max="1" width="4.5" customWidth="1"/>
    <col min="2" max="2" width="14.125" bestFit="1" customWidth="1"/>
    <col min="3" max="3" width="11.875" bestFit="1" customWidth="1"/>
    <col min="5" max="5" width="10" bestFit="1" customWidth="1"/>
    <col min="6" max="6" width="10.5" customWidth="1"/>
    <col min="10" max="10" width="11.5" bestFit="1" customWidth="1"/>
    <col min="17" max="17" width="9" customWidth="1"/>
    <col min="19" max="19" width="11.125" bestFit="1" customWidth="1"/>
    <col min="20" max="21" width="11.125" customWidth="1"/>
    <col min="25" max="25" width="9.875" bestFit="1" customWidth="1"/>
    <col min="29" max="29" width="12.375" bestFit="1" customWidth="1"/>
    <col min="30" max="30" width="13.5" customWidth="1"/>
    <col min="32" max="32" width="10.5" bestFit="1" customWidth="1"/>
  </cols>
  <sheetData>
    <row r="2" spans="1:36" ht="16.5" customHeight="1" x14ac:dyDescent="0.3">
      <c r="B2" s="9" t="s">
        <v>0</v>
      </c>
      <c r="C2" s="9" t="s">
        <v>1</v>
      </c>
      <c r="D2" s="9" t="s">
        <v>2</v>
      </c>
      <c r="F2" s="9" t="s">
        <v>0</v>
      </c>
      <c r="G2" s="9" t="s">
        <v>1</v>
      </c>
      <c r="H2" s="9" t="s">
        <v>2</v>
      </c>
      <c r="K2" s="86"/>
      <c r="L2" s="86"/>
    </row>
    <row r="3" spans="1:36" x14ac:dyDescent="0.25">
      <c r="B3" s="3" t="s">
        <v>3</v>
      </c>
      <c r="C3" s="10">
        <v>5</v>
      </c>
      <c r="D3" s="3" t="s">
        <v>4</v>
      </c>
      <c r="F3" s="11" t="s">
        <v>5</v>
      </c>
      <c r="G3" s="10">
        <v>10</v>
      </c>
      <c r="H3" s="3" t="s">
        <v>4</v>
      </c>
      <c r="K3" s="87"/>
      <c r="L3" s="88"/>
    </row>
    <row r="4" spans="1:36" x14ac:dyDescent="0.25">
      <c r="B4" s="3" t="s">
        <v>8</v>
      </c>
      <c r="C4" s="3">
        <f>MAX(C3-G3,0)</f>
        <v>0</v>
      </c>
      <c r="D4" s="3" t="s">
        <v>9</v>
      </c>
      <c r="F4" s="11" t="s">
        <v>10</v>
      </c>
      <c r="G4" s="10">
        <v>0</v>
      </c>
      <c r="H4" s="12" t="s">
        <v>9</v>
      </c>
      <c r="K4" s="87"/>
      <c r="L4" s="88"/>
    </row>
    <row r="5" spans="1:36" x14ac:dyDescent="0.25">
      <c r="F5" s="11" t="s">
        <v>11</v>
      </c>
      <c r="G5" s="10">
        <v>-50</v>
      </c>
      <c r="H5" s="12" t="s">
        <v>9</v>
      </c>
      <c r="K5" s="87"/>
      <c r="L5" s="88"/>
      <c r="U5" t="s">
        <v>13</v>
      </c>
      <c r="V5" s="32">
        <v>10000</v>
      </c>
      <c r="W5" s="33"/>
      <c r="X5" s="33"/>
    </row>
    <row r="6" spans="1:36" x14ac:dyDescent="0.25">
      <c r="F6" s="11" t="s">
        <v>14</v>
      </c>
      <c r="G6" s="10">
        <v>250</v>
      </c>
      <c r="H6" s="12" t="s">
        <v>9</v>
      </c>
      <c r="K6" s="87"/>
      <c r="L6" s="88"/>
      <c r="U6" t="s">
        <v>16</v>
      </c>
      <c r="V6" s="66" t="s">
        <v>17</v>
      </c>
      <c r="W6" s="33"/>
      <c r="X6" s="33"/>
    </row>
    <row r="7" spans="1:36" x14ac:dyDescent="0.25">
      <c r="F7" s="11" t="s">
        <v>18</v>
      </c>
      <c r="G7" s="10">
        <v>5</v>
      </c>
      <c r="H7" s="12" t="s">
        <v>9</v>
      </c>
      <c r="K7" s="87"/>
      <c r="L7" s="88"/>
    </row>
    <row r="8" spans="1:36" x14ac:dyDescent="0.25">
      <c r="F8" s="11" t="s">
        <v>19</v>
      </c>
      <c r="G8" s="10" t="s">
        <v>20</v>
      </c>
      <c r="H8" s="12" t="s">
        <v>7</v>
      </c>
      <c r="K8" s="87"/>
      <c r="L8" s="88"/>
    </row>
    <row r="10" spans="1:36" ht="15" customHeight="1" thickBot="1" x14ac:dyDescent="0.3"/>
    <row r="11" spans="1:36" ht="16.5" customHeight="1" thickBot="1" x14ac:dyDescent="0.3">
      <c r="A11" s="18"/>
      <c r="B11" s="92" t="s">
        <v>22</v>
      </c>
      <c r="C11" s="90"/>
      <c r="D11" s="90"/>
      <c r="E11" s="90"/>
      <c r="F11" s="90"/>
      <c r="G11" s="90"/>
      <c r="H11" s="90"/>
      <c r="I11" s="90"/>
      <c r="J11" s="90"/>
      <c r="K11" s="90"/>
      <c r="L11" s="90"/>
      <c r="M11" s="91"/>
      <c r="N11" s="20" t="s">
        <v>23</v>
      </c>
      <c r="O11" s="21"/>
      <c r="P11" s="21"/>
      <c r="Q11" s="21"/>
      <c r="R11" s="21"/>
      <c r="S11" s="21"/>
      <c r="T11" s="28" t="s">
        <v>24</v>
      </c>
      <c r="U11" s="29"/>
      <c r="V11" s="29"/>
      <c r="W11" s="29"/>
      <c r="X11" s="20" t="s">
        <v>25</v>
      </c>
      <c r="Y11" s="21"/>
      <c r="Z11" s="34"/>
      <c r="AA11" s="20" t="s">
        <v>26</v>
      </c>
      <c r="AB11" s="21"/>
      <c r="AC11" s="34"/>
      <c r="AD11" s="89" t="s">
        <v>27</v>
      </c>
      <c r="AE11" s="90"/>
      <c r="AF11" s="90"/>
      <c r="AG11" s="90"/>
      <c r="AH11" s="90"/>
      <c r="AI11" s="90"/>
      <c r="AJ11" s="91"/>
    </row>
    <row r="12" spans="1:36" ht="16.5" customHeight="1" x14ac:dyDescent="0.3">
      <c r="A12" s="17"/>
      <c r="B12" s="23" t="s">
        <v>28</v>
      </c>
      <c r="C12" s="23" t="s">
        <v>29</v>
      </c>
      <c r="D12" s="23" t="s">
        <v>30</v>
      </c>
      <c r="E12" s="23" t="s">
        <v>31</v>
      </c>
      <c r="F12" s="23" t="s">
        <v>32</v>
      </c>
      <c r="G12" s="23" t="s">
        <v>33</v>
      </c>
      <c r="H12" s="23" t="s">
        <v>34</v>
      </c>
      <c r="I12" s="23" t="s">
        <v>35</v>
      </c>
      <c r="J12" s="23" t="s">
        <v>36</v>
      </c>
      <c r="K12" s="23" t="s">
        <v>37</v>
      </c>
      <c r="L12" s="23" t="s">
        <v>38</v>
      </c>
      <c r="M12" s="23" t="s">
        <v>39</v>
      </c>
      <c r="N12" s="19" t="s">
        <v>40</v>
      </c>
      <c r="O12" s="19" t="s">
        <v>9</v>
      </c>
      <c r="P12" s="19" t="s">
        <v>41</v>
      </c>
      <c r="Q12" s="19" t="s">
        <v>42</v>
      </c>
      <c r="R12" s="19" t="s">
        <v>43</v>
      </c>
      <c r="S12" s="24" t="s">
        <v>44</v>
      </c>
      <c r="T12" s="25" t="s">
        <v>45</v>
      </c>
      <c r="U12" s="25" t="s">
        <v>46</v>
      </c>
      <c r="V12" s="30" t="s">
        <v>47</v>
      </c>
      <c r="W12" s="30" t="s">
        <v>48</v>
      </c>
      <c r="X12" s="22" t="s">
        <v>49</v>
      </c>
      <c r="Y12" s="22" t="s">
        <v>50</v>
      </c>
      <c r="Z12" s="22" t="s">
        <v>51</v>
      </c>
      <c r="AA12" s="22" t="s">
        <v>52</v>
      </c>
      <c r="AB12" s="22" t="s">
        <v>53</v>
      </c>
      <c r="AC12" s="22" t="s">
        <v>54</v>
      </c>
      <c r="AD12" s="24" t="s">
        <v>55</v>
      </c>
      <c r="AE12" s="19" t="s">
        <v>56</v>
      </c>
      <c r="AF12" s="19" t="s">
        <v>57</v>
      </c>
      <c r="AG12" s="19" t="s">
        <v>58</v>
      </c>
      <c r="AH12" s="19" t="s">
        <v>59</v>
      </c>
      <c r="AI12" s="23" t="s">
        <v>60</v>
      </c>
      <c r="AJ12" s="23" t="s">
        <v>61</v>
      </c>
    </row>
    <row r="13" spans="1:36" x14ac:dyDescent="0.25">
      <c r="A13" s="16"/>
      <c r="B13" s="3" t="s">
        <v>62</v>
      </c>
      <c r="C13" s="4" t="s">
        <v>63</v>
      </c>
      <c r="D13" s="80">
        <v>15.5</v>
      </c>
      <c r="E13" s="80">
        <v>15.5</v>
      </c>
      <c r="F13" s="4">
        <v>0</v>
      </c>
      <c r="G13" s="4">
        <v>4</v>
      </c>
      <c r="J13" s="4">
        <v>2</v>
      </c>
      <c r="K13" s="4">
        <v>24</v>
      </c>
      <c r="L13" s="4">
        <v>0</v>
      </c>
      <c r="M13" s="4">
        <v>0.8</v>
      </c>
      <c r="O13" s="4" t="s">
        <v>7</v>
      </c>
      <c r="P13" s="4" t="s">
        <v>7</v>
      </c>
      <c r="Q13" s="4" t="s">
        <v>7</v>
      </c>
      <c r="R13" s="4" t="s">
        <v>7</v>
      </c>
      <c r="S13" s="4" t="s">
        <v>7</v>
      </c>
      <c r="T13" s="4" t="s">
        <v>7</v>
      </c>
      <c r="U13" s="4" t="s">
        <v>7</v>
      </c>
      <c r="X13" s="4">
        <v>1.1000000000000001</v>
      </c>
      <c r="Y13" s="4">
        <v>11</v>
      </c>
      <c r="Z13" s="4">
        <v>1.66</v>
      </c>
      <c r="AA13" s="4">
        <v>8.7999999999999995E-2</v>
      </c>
      <c r="AB13" s="4">
        <v>1.7600000000000001E-2</v>
      </c>
      <c r="AC13" s="31">
        <v>3.5000000000000001E-3</v>
      </c>
      <c r="AD13" s="27" t="s">
        <v>6</v>
      </c>
      <c r="AE13" s="4">
        <v>40</v>
      </c>
      <c r="AF13" s="4">
        <v>20</v>
      </c>
      <c r="AG13" s="4">
        <v>5.0000000000000002E-5</v>
      </c>
      <c r="AH13" s="4">
        <v>1.5</v>
      </c>
      <c r="AI13" s="3">
        <f>IF(B13="","",$C$3-F13)</f>
        <v>5</v>
      </c>
      <c r="AJ13" s="3">
        <f>IF(C13="","",$C$3-G13)</f>
        <v>1</v>
      </c>
    </row>
    <row r="14" spans="1:36" x14ac:dyDescent="0.25">
      <c r="A14" s="16"/>
      <c r="B14" s="3" t="s">
        <v>62</v>
      </c>
      <c r="C14" s="4" t="s">
        <v>64</v>
      </c>
      <c r="D14" s="80">
        <v>17</v>
      </c>
      <c r="E14" s="80">
        <v>17</v>
      </c>
      <c r="F14" s="4">
        <v>4</v>
      </c>
      <c r="G14" s="4">
        <v>11</v>
      </c>
      <c r="J14" s="4">
        <v>2</v>
      </c>
      <c r="K14" s="4">
        <v>26</v>
      </c>
      <c r="L14" s="4">
        <v>0</v>
      </c>
      <c r="M14" s="4">
        <v>0.8</v>
      </c>
      <c r="O14" s="4" t="s">
        <v>7</v>
      </c>
      <c r="P14" s="4" t="s">
        <v>7</v>
      </c>
      <c r="Q14" s="4" t="s">
        <v>7</v>
      </c>
      <c r="R14" s="4" t="s">
        <v>7</v>
      </c>
      <c r="S14" s="4" t="s">
        <v>7</v>
      </c>
      <c r="T14" s="4" t="s">
        <v>7</v>
      </c>
      <c r="U14" s="4" t="s">
        <v>7</v>
      </c>
      <c r="X14" s="4">
        <v>1.1000000000000001</v>
      </c>
      <c r="Y14" s="4">
        <v>12</v>
      </c>
      <c r="Z14" s="4">
        <v>1.1399999999999999</v>
      </c>
      <c r="AA14" s="4">
        <v>8.2000000000000003E-2</v>
      </c>
      <c r="AB14" s="4">
        <v>1.6400000000000001E-2</v>
      </c>
      <c r="AC14" s="31">
        <v>3.3E-3</v>
      </c>
      <c r="AD14" s="27" t="s">
        <v>102</v>
      </c>
      <c r="AE14" s="4">
        <v>38</v>
      </c>
      <c r="AF14" s="4">
        <v>40</v>
      </c>
      <c r="AG14" s="4"/>
      <c r="AH14" s="4"/>
      <c r="AI14" s="3">
        <f>IF(B14="","",$C$3-F14)</f>
        <v>1</v>
      </c>
      <c r="AJ14" s="3">
        <f>IF(C14="","",$C$3-G14)</f>
        <v>-6</v>
      </c>
    </row>
    <row r="15" spans="1:36" x14ac:dyDescent="0.25">
      <c r="A15" s="16"/>
      <c r="B15" s="3" t="s">
        <v>62</v>
      </c>
      <c r="C15" s="4" t="s">
        <v>65</v>
      </c>
      <c r="D15" s="4">
        <v>18</v>
      </c>
      <c r="E15" s="4">
        <v>18</v>
      </c>
      <c r="F15" s="4">
        <v>11</v>
      </c>
      <c r="G15" s="4">
        <v>20</v>
      </c>
      <c r="J15" s="4">
        <v>5</v>
      </c>
      <c r="K15" s="4">
        <v>25</v>
      </c>
      <c r="L15" s="4">
        <v>0</v>
      </c>
      <c r="M15" s="4">
        <v>0.8</v>
      </c>
      <c r="O15" s="4" t="s">
        <v>7</v>
      </c>
      <c r="P15" s="4" t="s">
        <v>7</v>
      </c>
      <c r="Q15" s="4" t="s">
        <v>7</v>
      </c>
      <c r="R15" s="4" t="s">
        <v>7</v>
      </c>
      <c r="S15" s="4" t="s">
        <v>7</v>
      </c>
      <c r="T15" s="4" t="s">
        <v>7</v>
      </c>
      <c r="U15" s="4" t="s">
        <v>7</v>
      </c>
      <c r="X15" s="4">
        <v>1.1000000000000001</v>
      </c>
      <c r="Y15" s="4">
        <v>13</v>
      </c>
      <c r="Z15" s="4">
        <v>1</v>
      </c>
      <c r="AA15" s="4">
        <v>0.05</v>
      </c>
      <c r="AB15" s="4">
        <v>1.2E-2</v>
      </c>
      <c r="AC15" s="4">
        <v>2E-3</v>
      </c>
      <c r="AD15" s="27" t="s">
        <v>102</v>
      </c>
      <c r="AE15" s="4">
        <v>35</v>
      </c>
      <c r="AF15" s="4">
        <v>30</v>
      </c>
      <c r="AG15" s="4"/>
      <c r="AH15" s="4"/>
      <c r="AI15" s="3">
        <v>-11</v>
      </c>
      <c r="AJ15" s="3">
        <v>-20</v>
      </c>
    </row>
    <row r="16" spans="1:36" x14ac:dyDescent="0.25">
      <c r="A16" s="16"/>
      <c r="B16" s="3" t="s">
        <v>66</v>
      </c>
      <c r="C16" s="4" t="s">
        <v>67</v>
      </c>
      <c r="D16" s="4">
        <v>19</v>
      </c>
      <c r="E16" s="4">
        <v>19</v>
      </c>
      <c r="F16" s="4">
        <v>20</v>
      </c>
      <c r="G16" s="4">
        <v>55</v>
      </c>
      <c r="J16" s="4">
        <v>5</v>
      </c>
      <c r="K16" s="4">
        <v>27</v>
      </c>
      <c r="L16" s="4">
        <v>0</v>
      </c>
      <c r="M16" s="4">
        <v>0.8</v>
      </c>
      <c r="O16" s="4">
        <v>1</v>
      </c>
      <c r="P16" s="4">
        <v>100</v>
      </c>
      <c r="Q16" s="4">
        <v>121044</v>
      </c>
      <c r="R16" s="4">
        <v>121044</v>
      </c>
      <c r="S16" s="4">
        <v>363132</v>
      </c>
      <c r="T16" s="4">
        <v>297290</v>
      </c>
      <c r="U16" s="4">
        <v>3.4000000000000002E-4</v>
      </c>
      <c r="X16" s="4">
        <v>1.1000000000000001</v>
      </c>
      <c r="Y16" s="4">
        <v>14</v>
      </c>
      <c r="Z16" s="4">
        <v>1</v>
      </c>
      <c r="AA16" s="4">
        <v>0.05</v>
      </c>
      <c r="AB16" s="4">
        <v>1.2E-2</v>
      </c>
      <c r="AC16" s="4">
        <v>2E-3</v>
      </c>
      <c r="AD16" s="27" t="s">
        <v>68</v>
      </c>
      <c r="AE16" s="4"/>
      <c r="AF16" s="4"/>
      <c r="AG16" s="4"/>
      <c r="AH16" s="4"/>
      <c r="AI16" s="3">
        <f t="shared" ref="AI16:AI33" si="0">IF(B16="","",$C$3-F16)</f>
        <v>-15</v>
      </c>
      <c r="AJ16" s="3">
        <f t="shared" ref="AJ16:AJ33" si="1">IF(C16="","",$C$3-G16)</f>
        <v>-50</v>
      </c>
    </row>
    <row r="17" spans="1:36" hidden="1" x14ac:dyDescent="0.25">
      <c r="A17" s="16"/>
      <c r="B17" s="3"/>
      <c r="C17" s="4"/>
      <c r="D17" s="4"/>
      <c r="E17" s="4"/>
      <c r="F17" s="4"/>
      <c r="G17" s="4"/>
      <c r="J17" s="4"/>
      <c r="K17" s="4"/>
      <c r="L17" s="4"/>
      <c r="M17" s="4"/>
      <c r="O17" s="4"/>
      <c r="P17" s="4"/>
      <c r="Q17" s="4"/>
      <c r="R17" s="4"/>
      <c r="S17" s="4"/>
      <c r="T17" s="4"/>
      <c r="U17" s="4"/>
      <c r="X17" s="4"/>
      <c r="Y17" s="4"/>
      <c r="Z17" s="4"/>
      <c r="AA17" s="4"/>
      <c r="AB17" s="4"/>
      <c r="AC17" s="4"/>
      <c r="AD17" s="27"/>
      <c r="AE17" s="31"/>
      <c r="AF17" s="31"/>
      <c r="AG17" s="31"/>
      <c r="AH17" s="4"/>
      <c r="AI17" s="3"/>
      <c r="AJ17" s="3"/>
    </row>
    <row r="18" spans="1:36" hidden="1" x14ac:dyDescent="0.25">
      <c r="A18" s="16"/>
      <c r="B18" s="3"/>
      <c r="C18" s="4"/>
      <c r="D18" s="4"/>
      <c r="E18" s="4"/>
      <c r="F18" s="4"/>
      <c r="G18" s="4"/>
      <c r="J18" s="4"/>
      <c r="K18" s="4"/>
      <c r="L18" s="4"/>
      <c r="M18" s="4"/>
      <c r="O18" s="4"/>
      <c r="P18" s="4"/>
      <c r="Q18" s="4"/>
      <c r="R18" s="4"/>
      <c r="S18" s="4"/>
      <c r="T18" s="4"/>
      <c r="U18" s="4"/>
      <c r="X18" s="4"/>
      <c r="Y18" s="4"/>
      <c r="Z18" s="4"/>
      <c r="AA18" s="4"/>
      <c r="AB18" s="4"/>
      <c r="AC18" s="4"/>
      <c r="AD18" s="27"/>
      <c r="AE18" s="31"/>
      <c r="AF18" s="31"/>
      <c r="AG18" s="31"/>
      <c r="AH18" s="4"/>
      <c r="AI18" s="3"/>
      <c r="AJ18" s="3"/>
    </row>
    <row r="19" spans="1:36" hidden="1" x14ac:dyDescent="0.25">
      <c r="A19" s="16"/>
      <c r="B19" s="3"/>
      <c r="C19" s="4"/>
      <c r="D19" s="4"/>
      <c r="E19" s="4"/>
      <c r="F19" s="4"/>
      <c r="G19" s="4"/>
      <c r="J19" s="4"/>
      <c r="K19" s="4"/>
      <c r="L19" s="4"/>
      <c r="M19" s="4"/>
      <c r="O19" s="4"/>
      <c r="P19" s="4"/>
      <c r="Q19" s="4"/>
      <c r="R19" s="4"/>
      <c r="S19" s="4"/>
      <c r="T19" s="4"/>
      <c r="U19" s="4"/>
      <c r="X19" s="4"/>
      <c r="Y19" s="4"/>
      <c r="Z19" s="4"/>
      <c r="AA19" s="4"/>
      <c r="AB19" s="4"/>
      <c r="AC19" s="4"/>
      <c r="AD19" s="27"/>
      <c r="AE19" s="31"/>
      <c r="AF19" s="31"/>
      <c r="AG19" s="31"/>
      <c r="AH19" s="4"/>
      <c r="AI19" s="3"/>
      <c r="AJ19" s="3"/>
    </row>
    <row r="20" spans="1:36" hidden="1" x14ac:dyDescent="0.25">
      <c r="A20" s="16"/>
      <c r="B20" s="3"/>
      <c r="C20" s="4"/>
      <c r="D20" s="4"/>
      <c r="E20" s="4"/>
      <c r="F20" s="4"/>
      <c r="G20" s="4"/>
      <c r="J20" s="4"/>
      <c r="K20" s="4"/>
      <c r="L20" s="4"/>
      <c r="M20" s="4"/>
      <c r="O20" s="4"/>
      <c r="P20" s="4"/>
      <c r="Q20" s="4"/>
      <c r="R20" s="4"/>
      <c r="S20" s="4"/>
      <c r="T20" s="4"/>
      <c r="U20" s="4"/>
      <c r="X20" s="4"/>
      <c r="Y20" s="4"/>
      <c r="Z20" s="4"/>
      <c r="AA20" s="4"/>
      <c r="AB20" s="4"/>
      <c r="AC20" s="4"/>
      <c r="AD20" s="27"/>
      <c r="AE20" s="31"/>
      <c r="AF20" s="31"/>
      <c r="AG20" s="31"/>
      <c r="AH20" s="4"/>
      <c r="AI20" s="3"/>
      <c r="AJ20" s="3"/>
    </row>
    <row r="21" spans="1:36" hidden="1" x14ac:dyDescent="0.25">
      <c r="A21" s="16"/>
      <c r="B21" s="3"/>
      <c r="C21" s="4"/>
      <c r="D21" s="4"/>
      <c r="E21" s="4"/>
      <c r="F21" s="4"/>
      <c r="G21" s="4"/>
      <c r="J21" s="4"/>
      <c r="K21" s="4"/>
      <c r="L21" s="4"/>
      <c r="M21" s="4"/>
      <c r="O21" s="4"/>
      <c r="P21" s="4"/>
      <c r="Q21" s="4"/>
      <c r="R21" s="4"/>
      <c r="S21" s="4"/>
      <c r="T21" s="4"/>
      <c r="U21" s="4"/>
      <c r="X21" s="4"/>
      <c r="Y21" s="4"/>
      <c r="Z21" s="4"/>
      <c r="AA21" s="4"/>
      <c r="AB21" s="4"/>
      <c r="AC21" s="4"/>
      <c r="AD21" s="27"/>
      <c r="AE21" s="31"/>
      <c r="AF21" s="31"/>
      <c r="AG21" s="31"/>
      <c r="AH21" s="4"/>
      <c r="AI21" s="3"/>
      <c r="AJ21" s="3"/>
    </row>
    <row r="22" spans="1:36" hidden="1" x14ac:dyDescent="0.25">
      <c r="A22" s="16"/>
      <c r="B22" s="3"/>
      <c r="C22" s="4"/>
      <c r="D22" s="4"/>
      <c r="E22" s="4"/>
      <c r="F22" s="4"/>
      <c r="G22" s="4"/>
      <c r="J22" s="4"/>
      <c r="K22" s="4"/>
      <c r="L22" s="4"/>
      <c r="M22" s="4"/>
      <c r="O22" s="4"/>
      <c r="P22" s="4"/>
      <c r="Q22" s="4"/>
      <c r="R22" s="4"/>
      <c r="S22" s="4"/>
      <c r="T22" s="4"/>
      <c r="U22" s="4"/>
      <c r="X22" s="4"/>
      <c r="Y22" s="4"/>
      <c r="Z22" s="4"/>
      <c r="AA22" s="4"/>
      <c r="AB22" s="4"/>
      <c r="AC22" s="4"/>
      <c r="AD22" s="27"/>
      <c r="AE22" s="31"/>
      <c r="AF22" s="31"/>
      <c r="AG22" s="31"/>
      <c r="AH22" s="4"/>
      <c r="AI22" s="3"/>
      <c r="AJ22" s="3"/>
    </row>
    <row r="23" spans="1:36" hidden="1" x14ac:dyDescent="0.25">
      <c r="A23" s="16"/>
      <c r="B23" s="4"/>
      <c r="C23" s="4"/>
      <c r="D23" s="4"/>
      <c r="E23" s="4"/>
      <c r="F23" s="4"/>
      <c r="G23" s="4"/>
      <c r="J23" s="4"/>
      <c r="K23" s="4"/>
      <c r="L23" s="4"/>
      <c r="M23" s="4"/>
      <c r="O23" s="4"/>
      <c r="P23" s="4"/>
      <c r="Q23" s="4"/>
      <c r="R23" s="4"/>
      <c r="S23" s="4"/>
      <c r="T23" s="4"/>
      <c r="U23" s="4"/>
      <c r="X23" s="4"/>
      <c r="Y23" s="4"/>
      <c r="Z23" s="4"/>
      <c r="AA23" s="4"/>
      <c r="AB23" s="4"/>
      <c r="AC23" s="4"/>
      <c r="AD23" s="4"/>
      <c r="AE23" s="31"/>
      <c r="AF23" s="31"/>
      <c r="AG23" s="31"/>
      <c r="AH23" s="4"/>
      <c r="AI23" s="3"/>
      <c r="AJ23" s="3"/>
    </row>
    <row r="24" spans="1:36" hidden="1" x14ac:dyDescent="0.25">
      <c r="A24" s="16"/>
      <c r="B24" s="4"/>
      <c r="C24" s="4"/>
      <c r="D24" s="4"/>
      <c r="E24" s="4"/>
      <c r="F24" s="4"/>
      <c r="G24" s="4"/>
      <c r="J24" s="4"/>
      <c r="K24" s="4"/>
      <c r="L24" s="4"/>
      <c r="M24" s="4"/>
      <c r="O24" s="4"/>
      <c r="P24" s="4"/>
      <c r="Q24" s="4"/>
      <c r="R24" s="4"/>
      <c r="S24" s="4"/>
      <c r="T24" s="4"/>
      <c r="U24" s="4"/>
      <c r="X24" s="4"/>
      <c r="Y24" s="4"/>
      <c r="Z24" s="4"/>
      <c r="AA24" s="4"/>
      <c r="AB24" s="4"/>
      <c r="AC24" s="4"/>
      <c r="AD24" s="4"/>
      <c r="AE24" s="31"/>
      <c r="AF24" s="31"/>
      <c r="AG24" s="31"/>
      <c r="AH24" s="4"/>
      <c r="AI24" s="3"/>
      <c r="AJ24" s="3"/>
    </row>
    <row r="25" spans="1:36" hidden="1" x14ac:dyDescent="0.25">
      <c r="A25" s="16"/>
      <c r="B25" s="4"/>
      <c r="C25" s="4"/>
      <c r="D25" s="4"/>
      <c r="E25" s="4"/>
      <c r="F25" s="4"/>
      <c r="G25" s="4"/>
      <c r="J25" s="4"/>
      <c r="K25" s="4"/>
      <c r="L25" s="4"/>
      <c r="M25" s="4"/>
      <c r="O25" s="4"/>
      <c r="P25" s="4"/>
      <c r="Q25" s="4"/>
      <c r="R25" s="4"/>
      <c r="S25" s="4"/>
      <c r="T25" s="4"/>
      <c r="U25" s="4"/>
      <c r="X25" s="4"/>
      <c r="Y25" s="4"/>
      <c r="Z25" s="4"/>
      <c r="AA25" s="4"/>
      <c r="AB25" s="4"/>
      <c r="AC25" s="4"/>
      <c r="AD25" s="4"/>
      <c r="AE25" s="31"/>
      <c r="AF25" s="31"/>
      <c r="AG25" s="31"/>
      <c r="AH25" s="4"/>
      <c r="AI25" s="3"/>
      <c r="AJ25" s="3"/>
    </row>
    <row r="26" spans="1:36" hidden="1" x14ac:dyDescent="0.25">
      <c r="A26" s="16"/>
      <c r="B26" s="4"/>
      <c r="C26" s="4"/>
      <c r="D26" s="4"/>
      <c r="E26" s="4"/>
      <c r="F26" s="4"/>
      <c r="G26" s="4"/>
      <c r="J26" s="4"/>
      <c r="K26" s="4"/>
      <c r="L26" s="4"/>
      <c r="M26" s="4"/>
      <c r="O26" s="4"/>
      <c r="P26" s="4"/>
      <c r="Q26" s="4"/>
      <c r="R26" s="4"/>
      <c r="S26" s="4"/>
      <c r="T26" s="4"/>
      <c r="U26" s="4"/>
      <c r="X26" s="4"/>
      <c r="Y26" s="4"/>
      <c r="Z26" s="4"/>
      <c r="AA26" s="4"/>
      <c r="AB26" s="4"/>
      <c r="AC26" s="4"/>
      <c r="AD26" s="4"/>
      <c r="AE26" s="31"/>
      <c r="AF26" s="31"/>
      <c r="AG26" s="31"/>
      <c r="AH26" s="4"/>
      <c r="AI26" s="3"/>
      <c r="AJ26" s="3"/>
    </row>
    <row r="27" spans="1:36" hidden="1" x14ac:dyDescent="0.25">
      <c r="A27" s="16"/>
      <c r="B27" s="4"/>
      <c r="C27" s="4"/>
      <c r="D27" s="4"/>
      <c r="E27" s="4"/>
      <c r="F27" s="4"/>
      <c r="G27" s="4"/>
      <c r="J27" s="4"/>
      <c r="K27" s="4"/>
      <c r="L27" s="4"/>
      <c r="M27" s="4"/>
      <c r="O27" s="4"/>
      <c r="P27" s="4"/>
      <c r="Q27" s="4"/>
      <c r="R27" s="4"/>
      <c r="S27" s="4"/>
      <c r="T27" s="4"/>
      <c r="U27" s="4"/>
      <c r="X27" s="4"/>
      <c r="Y27" s="4"/>
      <c r="Z27" s="4"/>
      <c r="AA27" s="4"/>
      <c r="AB27" s="4"/>
      <c r="AC27" s="4"/>
      <c r="AD27" s="4"/>
      <c r="AE27" s="31"/>
      <c r="AF27" s="31"/>
      <c r="AG27" s="31"/>
      <c r="AH27" s="4"/>
      <c r="AI27" s="3"/>
      <c r="AJ27" s="3"/>
    </row>
    <row r="28" spans="1:36" hidden="1" x14ac:dyDescent="0.25">
      <c r="A28" s="16"/>
      <c r="B28" s="4"/>
      <c r="C28" s="4"/>
      <c r="D28" s="4"/>
      <c r="E28" s="4"/>
      <c r="F28" s="4"/>
      <c r="G28" s="4"/>
      <c r="J28" s="4"/>
      <c r="K28" s="4"/>
      <c r="L28" s="4"/>
      <c r="M28" s="4"/>
      <c r="O28" s="4"/>
      <c r="P28" s="4"/>
      <c r="Q28" s="4"/>
      <c r="R28" s="4"/>
      <c r="S28" s="4"/>
      <c r="T28" s="4"/>
      <c r="U28" s="4"/>
      <c r="X28" s="4"/>
      <c r="Y28" s="4"/>
      <c r="Z28" s="4"/>
      <c r="AA28" s="4"/>
      <c r="AB28" s="4"/>
      <c r="AC28" s="4"/>
      <c r="AD28" s="4"/>
      <c r="AE28" s="31"/>
      <c r="AF28" s="31"/>
      <c r="AG28" s="31"/>
      <c r="AH28" s="4"/>
      <c r="AI28" s="3"/>
      <c r="AJ28" s="3"/>
    </row>
    <row r="29" spans="1:36" hidden="1" x14ac:dyDescent="0.25">
      <c r="A29" s="16"/>
      <c r="B29" s="4"/>
      <c r="C29" s="4"/>
      <c r="D29" s="4"/>
      <c r="E29" s="4"/>
      <c r="F29" s="4"/>
      <c r="G29" s="4"/>
      <c r="J29" s="4"/>
      <c r="K29" s="4"/>
      <c r="L29" s="4"/>
      <c r="M29" s="4"/>
      <c r="O29" s="4"/>
      <c r="P29" s="4"/>
      <c r="Q29" s="4"/>
      <c r="R29" s="4"/>
      <c r="S29" s="4"/>
      <c r="T29" s="4"/>
      <c r="U29" s="4"/>
      <c r="X29" s="4"/>
      <c r="Y29" s="4"/>
      <c r="Z29" s="4"/>
      <c r="AA29" s="4"/>
      <c r="AB29" s="4"/>
      <c r="AC29" s="4"/>
      <c r="AD29" s="4"/>
      <c r="AE29" s="31"/>
      <c r="AF29" s="31"/>
      <c r="AG29" s="31"/>
      <c r="AH29" s="4"/>
      <c r="AI29" s="3"/>
      <c r="AJ29" s="3"/>
    </row>
    <row r="30" spans="1:36" hidden="1" x14ac:dyDescent="0.25">
      <c r="A30" s="16"/>
      <c r="B30" s="4"/>
      <c r="C30" s="4"/>
      <c r="D30" s="4"/>
      <c r="E30" s="4"/>
      <c r="F30" s="4"/>
      <c r="G30" s="4"/>
      <c r="J30" s="4"/>
      <c r="K30" s="4"/>
      <c r="L30" s="4"/>
      <c r="M30" s="4"/>
      <c r="O30" s="4"/>
      <c r="P30" s="4"/>
      <c r="Q30" s="4"/>
      <c r="R30" s="4"/>
      <c r="S30" s="4"/>
      <c r="T30" s="4"/>
      <c r="U30" s="4"/>
      <c r="X30" s="4"/>
      <c r="Y30" s="4"/>
      <c r="Z30" s="4"/>
      <c r="AA30" s="4"/>
      <c r="AB30" s="4"/>
      <c r="AC30" s="4"/>
      <c r="AD30" s="4"/>
      <c r="AE30" s="31"/>
      <c r="AF30" s="31"/>
      <c r="AG30" s="31"/>
      <c r="AH30" s="4"/>
      <c r="AI30" s="3"/>
      <c r="AJ30" s="3"/>
    </row>
    <row r="31" spans="1:36" hidden="1" x14ac:dyDescent="0.25">
      <c r="A31" s="16"/>
      <c r="B31" s="4"/>
      <c r="C31" s="4"/>
      <c r="D31" s="4"/>
      <c r="E31" s="4"/>
      <c r="F31" s="4"/>
      <c r="G31" s="4"/>
      <c r="J31" s="4"/>
      <c r="K31" s="4"/>
      <c r="L31" s="4"/>
      <c r="M31" s="4"/>
      <c r="O31" s="4"/>
      <c r="P31" s="4"/>
      <c r="Q31" s="4"/>
      <c r="R31" s="4"/>
      <c r="S31" s="4"/>
      <c r="T31" s="4"/>
      <c r="U31" s="4"/>
      <c r="X31" s="4"/>
      <c r="Y31" s="4"/>
      <c r="Z31" s="4"/>
      <c r="AA31" s="4"/>
      <c r="AB31" s="4"/>
      <c r="AC31" s="4"/>
      <c r="AD31" s="4"/>
      <c r="AE31" s="31"/>
      <c r="AF31" s="31"/>
      <c r="AG31" s="31"/>
      <c r="AH31" s="4"/>
      <c r="AI31" s="3"/>
      <c r="AJ31" s="3"/>
    </row>
    <row r="32" spans="1:36" hidden="1" x14ac:dyDescent="0.25">
      <c r="A32" s="16"/>
      <c r="B32" s="4"/>
      <c r="C32" s="4"/>
      <c r="D32" s="4"/>
      <c r="E32" s="4"/>
      <c r="F32" s="4"/>
      <c r="G32" s="4"/>
      <c r="J32" s="4"/>
      <c r="K32" s="4"/>
      <c r="L32" s="4"/>
      <c r="M32" s="4"/>
      <c r="O32" s="4"/>
      <c r="P32" s="4"/>
      <c r="Q32" s="4"/>
      <c r="R32" s="4"/>
      <c r="S32" s="4"/>
      <c r="T32" s="4"/>
      <c r="U32" s="4"/>
      <c r="X32" s="4"/>
      <c r="Y32" s="4"/>
      <c r="Z32" s="4"/>
      <c r="AA32" s="4"/>
      <c r="AB32" s="4"/>
      <c r="AC32" s="4"/>
      <c r="AD32" s="4"/>
      <c r="AE32" s="31"/>
      <c r="AF32" s="31"/>
      <c r="AG32" s="31"/>
      <c r="AH32" s="4"/>
      <c r="AI32" s="3"/>
      <c r="AJ32" s="3"/>
    </row>
    <row r="33" spans="1:36" hidden="1" x14ac:dyDescent="0.25">
      <c r="A33" s="16"/>
      <c r="B33" s="4"/>
      <c r="C33" s="4"/>
      <c r="D33" s="4"/>
      <c r="E33" s="4"/>
      <c r="F33" s="4"/>
      <c r="G33" s="4"/>
      <c r="J33" s="4"/>
      <c r="K33" s="4"/>
      <c r="L33" s="4"/>
      <c r="M33" s="4"/>
      <c r="O33" s="4"/>
      <c r="P33" s="4"/>
      <c r="Q33" s="4"/>
      <c r="R33" s="4"/>
      <c r="S33" s="4"/>
      <c r="T33" s="4"/>
      <c r="U33" s="4"/>
      <c r="X33" s="4"/>
      <c r="Y33" s="4"/>
      <c r="Z33" s="4"/>
      <c r="AA33" s="4"/>
      <c r="AB33" s="4"/>
      <c r="AC33" s="4"/>
      <c r="AD33" s="4"/>
      <c r="AE33" s="31"/>
      <c r="AF33" s="31"/>
      <c r="AG33" s="31"/>
      <c r="AH33" s="4"/>
      <c r="AI33" s="3"/>
      <c r="AJ33" s="3"/>
    </row>
    <row r="35" spans="1:36" ht="18" hidden="1" customHeight="1" outlineLevel="1" thickTop="1" thickBot="1" x14ac:dyDescent="0.35">
      <c r="A35" s="7" t="s">
        <v>69</v>
      </c>
      <c r="B35" s="6" t="s">
        <v>70</v>
      </c>
      <c r="C35" s="6" t="s">
        <v>71</v>
      </c>
      <c r="D35" s="6" t="s">
        <v>70</v>
      </c>
      <c r="E35" s="6" t="s">
        <v>72</v>
      </c>
      <c r="F35" s="6" t="s">
        <v>70</v>
      </c>
      <c r="G35" s="6" t="s">
        <v>73</v>
      </c>
      <c r="J35" s="6"/>
      <c r="K35" s="6"/>
      <c r="L35" s="6"/>
      <c r="M35" s="6"/>
      <c r="O35" s="6"/>
      <c r="P35" s="6"/>
      <c r="Q35" s="6"/>
      <c r="R35" s="6"/>
      <c r="S35" s="6"/>
      <c r="X35" s="6"/>
      <c r="Y35" s="6"/>
      <c r="Z35" s="6"/>
      <c r="AA35" s="6"/>
    </row>
    <row r="36" spans="1:36" ht="16.5" hidden="1" customHeight="1" outlineLevel="1" thickTop="1" x14ac:dyDescent="0.25">
      <c r="A36" s="8">
        <v>1</v>
      </c>
      <c r="B36" s="4">
        <v>0.3</v>
      </c>
      <c r="C36" s="4">
        <v>25.0589713718764</v>
      </c>
      <c r="D36" s="4">
        <v>0.4</v>
      </c>
      <c r="E36" s="4">
        <v>23.120599976553802</v>
      </c>
      <c r="F36" s="4">
        <v>0.4</v>
      </c>
      <c r="G36" s="4">
        <v>13.1205999765538</v>
      </c>
      <c r="J36" s="4"/>
      <c r="K36" s="4"/>
      <c r="L36" s="4"/>
      <c r="M36" s="4"/>
      <c r="O36" s="4"/>
      <c r="P36" s="4"/>
      <c r="Q36" s="4"/>
      <c r="R36" s="4"/>
      <c r="S36" s="4"/>
      <c r="X36" s="4"/>
      <c r="Y36" s="4"/>
      <c r="Z36" s="4"/>
      <c r="AA36" s="4"/>
    </row>
    <row r="37" spans="1:36" hidden="1" outlineLevel="1" x14ac:dyDescent="0.25">
      <c r="A37" s="8">
        <v>2</v>
      </c>
      <c r="B37" s="4">
        <v>0.5</v>
      </c>
      <c r="C37" s="4">
        <v>7.0112981930649703</v>
      </c>
      <c r="D37" s="4">
        <v>1.1000000000000001</v>
      </c>
      <c r="E37" s="4">
        <v>19.159190611638</v>
      </c>
      <c r="F37" s="4">
        <v>1.1000000000000001</v>
      </c>
      <c r="G37" s="4">
        <v>9.1591906116379995</v>
      </c>
      <c r="J37" s="4"/>
      <c r="K37" s="4"/>
      <c r="L37" s="4"/>
      <c r="M37" s="4"/>
      <c r="O37" s="4"/>
      <c r="P37" s="4"/>
      <c r="Q37" s="4"/>
      <c r="R37" s="4"/>
      <c r="S37" s="4"/>
      <c r="X37" s="4"/>
      <c r="Y37" s="4"/>
      <c r="Z37" s="4"/>
      <c r="AA37" s="4"/>
    </row>
    <row r="38" spans="1:36" hidden="1" outlineLevel="1" x14ac:dyDescent="0.25">
      <c r="A38" s="8">
        <f t="shared" ref="A38:A101" si="2">A37+1</f>
        <v>3</v>
      </c>
      <c r="B38" s="4">
        <v>0.5</v>
      </c>
      <c r="C38" s="4">
        <v>13.9786779080416</v>
      </c>
      <c r="D38" s="4">
        <v>1.1000000000000001</v>
      </c>
      <c r="E38" s="4">
        <v>18.042872656148798</v>
      </c>
      <c r="F38" s="4">
        <v>1.1000000000000001</v>
      </c>
      <c r="G38" s="4">
        <v>8.0428726561487984</v>
      </c>
      <c r="J38" s="4"/>
      <c r="K38" s="4"/>
      <c r="L38" s="4"/>
      <c r="M38" s="4"/>
      <c r="O38" s="4"/>
      <c r="P38" s="4"/>
      <c r="Q38" s="4"/>
      <c r="R38" s="4"/>
      <c r="S38" s="4"/>
      <c r="X38" s="4"/>
      <c r="Y38" s="4"/>
      <c r="Z38" s="4"/>
      <c r="AA38" s="4"/>
    </row>
    <row r="39" spans="1:36" hidden="1" outlineLevel="1" x14ac:dyDescent="0.25">
      <c r="A39" s="8">
        <f t="shared" si="2"/>
        <v>4</v>
      </c>
      <c r="B39" s="4">
        <v>0.8</v>
      </c>
      <c r="C39" s="4">
        <v>25.002498039773499</v>
      </c>
      <c r="D39" s="4">
        <v>1.5</v>
      </c>
      <c r="E39" s="4">
        <v>19.0540682285143</v>
      </c>
      <c r="F39" s="4">
        <v>1.5</v>
      </c>
      <c r="G39" s="4">
        <v>9.0540682285142999</v>
      </c>
      <c r="J39" s="4"/>
      <c r="K39" s="4"/>
      <c r="L39" s="4"/>
      <c r="M39" s="4"/>
      <c r="O39" s="4"/>
      <c r="P39" s="4"/>
      <c r="Q39" s="4"/>
      <c r="R39" s="4"/>
      <c r="S39" s="4"/>
      <c r="X39" s="4"/>
      <c r="Y39" s="4"/>
      <c r="Z39" s="4"/>
      <c r="AA39" s="4"/>
    </row>
    <row r="40" spans="1:36" hidden="1" outlineLevel="1" x14ac:dyDescent="0.25">
      <c r="A40" s="8">
        <f t="shared" si="2"/>
        <v>5</v>
      </c>
      <c r="B40" s="4">
        <v>0.9</v>
      </c>
      <c r="C40" s="4">
        <v>20.991104627310101</v>
      </c>
      <c r="D40" s="4">
        <v>1.6</v>
      </c>
      <c r="E40" s="4">
        <v>17.2271137080205</v>
      </c>
      <c r="F40" s="4">
        <v>1.6</v>
      </c>
      <c r="G40" s="4">
        <v>7.2271137080205001</v>
      </c>
      <c r="J40" s="4"/>
      <c r="K40" s="4"/>
      <c r="L40" s="4"/>
      <c r="M40" s="4"/>
      <c r="O40" s="4"/>
      <c r="P40" s="4"/>
      <c r="Q40" s="4"/>
      <c r="R40" s="4"/>
      <c r="S40" s="4"/>
      <c r="X40" s="4"/>
      <c r="Y40" s="4"/>
      <c r="Z40" s="4"/>
      <c r="AA40" s="4"/>
    </row>
    <row r="41" spans="1:36" hidden="1" outlineLevel="1" x14ac:dyDescent="0.25">
      <c r="A41" s="8">
        <f t="shared" si="2"/>
        <v>6</v>
      </c>
      <c r="B41" s="4">
        <v>1.3</v>
      </c>
      <c r="C41" s="4">
        <v>26.951133639837899</v>
      </c>
      <c r="D41" s="4">
        <v>3</v>
      </c>
      <c r="E41" s="4">
        <v>22.5903605165574</v>
      </c>
      <c r="F41" s="4">
        <v>3</v>
      </c>
      <c r="G41" s="4">
        <v>12.5903605165574</v>
      </c>
      <c r="J41" s="4"/>
      <c r="K41" s="4"/>
      <c r="L41" s="4"/>
      <c r="M41" s="4"/>
      <c r="O41" s="4"/>
      <c r="P41" s="4"/>
      <c r="Q41" s="4"/>
      <c r="R41" s="4"/>
      <c r="S41" s="4"/>
      <c r="X41" s="4"/>
      <c r="Y41" s="4"/>
      <c r="Z41" s="4"/>
      <c r="AA41" s="4"/>
    </row>
    <row r="42" spans="1:36" hidden="1" outlineLevel="1" x14ac:dyDescent="0.25">
      <c r="A42" s="8">
        <f t="shared" si="2"/>
        <v>7</v>
      </c>
      <c r="B42" s="4">
        <v>1.5</v>
      </c>
      <c r="C42" s="4">
        <v>16.021263314552002</v>
      </c>
      <c r="D42" s="4">
        <v>3</v>
      </c>
      <c r="E42" s="4">
        <v>21.069055302240301</v>
      </c>
      <c r="F42" s="4">
        <v>3</v>
      </c>
      <c r="G42" s="4">
        <v>11.069055302240301</v>
      </c>
      <c r="J42" s="4"/>
      <c r="K42" s="4"/>
      <c r="L42" s="4"/>
      <c r="M42" s="4"/>
      <c r="O42" s="4"/>
      <c r="P42" s="4"/>
      <c r="Q42" s="4"/>
      <c r="R42" s="4"/>
      <c r="S42" s="4"/>
      <c r="X42" s="4"/>
      <c r="Y42" s="4"/>
      <c r="Z42" s="4"/>
      <c r="AA42" s="4"/>
    </row>
    <row r="43" spans="1:36" hidden="1" outlineLevel="1" x14ac:dyDescent="0.25">
      <c r="A43" s="8">
        <f t="shared" si="2"/>
        <v>8</v>
      </c>
      <c r="B43" s="4">
        <v>1.8</v>
      </c>
      <c r="C43" s="4">
        <v>31.005081894560401</v>
      </c>
      <c r="D43" s="4">
        <v>4.2</v>
      </c>
      <c r="E43" s="4">
        <v>24.9128479142115</v>
      </c>
      <c r="F43" s="4">
        <v>4.2</v>
      </c>
      <c r="G43" s="4">
        <v>14.9128479142115</v>
      </c>
      <c r="J43" s="4"/>
      <c r="K43" s="4"/>
      <c r="L43" s="4"/>
      <c r="M43" s="4"/>
      <c r="O43" s="4"/>
      <c r="P43" s="4"/>
      <c r="Q43" s="4"/>
      <c r="R43" s="4"/>
      <c r="S43" s="4"/>
      <c r="X43" s="4"/>
      <c r="Y43" s="4"/>
      <c r="Z43" s="4"/>
      <c r="AA43" s="4"/>
    </row>
    <row r="44" spans="1:36" hidden="1" outlineLevel="1" x14ac:dyDescent="0.25">
      <c r="A44" s="8">
        <f t="shared" si="2"/>
        <v>9</v>
      </c>
      <c r="B44" s="4">
        <v>1.9</v>
      </c>
      <c r="C44" s="4">
        <v>18.923503556620901</v>
      </c>
      <c r="D44" s="4">
        <v>4.5</v>
      </c>
      <c r="E44" s="4">
        <v>58.682815768203199</v>
      </c>
      <c r="F44" s="4">
        <v>4.5</v>
      </c>
      <c r="G44" s="4">
        <v>48.682815768203199</v>
      </c>
      <c r="J44" s="4"/>
      <c r="K44" s="4"/>
      <c r="L44" s="4"/>
      <c r="M44" s="4"/>
      <c r="O44" s="4"/>
      <c r="P44" s="4"/>
      <c r="Q44" s="4"/>
      <c r="R44" s="4"/>
      <c r="S44" s="4"/>
      <c r="X44" s="4"/>
      <c r="Y44" s="4"/>
      <c r="Z44" s="4"/>
      <c r="AA44" s="4"/>
    </row>
    <row r="45" spans="1:36" hidden="1" outlineLevel="1" x14ac:dyDescent="0.25">
      <c r="A45" s="8">
        <f t="shared" si="2"/>
        <v>10</v>
      </c>
      <c r="B45" s="4">
        <v>2.2999999999999998</v>
      </c>
      <c r="C45" s="4">
        <v>37.013872643466797</v>
      </c>
      <c r="D45" s="4">
        <v>4.8</v>
      </c>
      <c r="E45" s="4">
        <v>20.648334392526799</v>
      </c>
      <c r="F45" s="4">
        <v>4.8</v>
      </c>
      <c r="G45" s="4">
        <v>10.648334392526801</v>
      </c>
      <c r="J45" s="4"/>
      <c r="K45" s="4"/>
      <c r="L45" s="4"/>
      <c r="M45" s="4"/>
      <c r="O45" s="4"/>
      <c r="P45" s="4"/>
      <c r="Q45" s="4"/>
      <c r="R45" s="4"/>
      <c r="S45" s="4"/>
      <c r="X45" s="4"/>
      <c r="Y45" s="4"/>
      <c r="Z45" s="4"/>
      <c r="AA45" s="4"/>
    </row>
    <row r="46" spans="1:36" hidden="1" outlineLevel="1" x14ac:dyDescent="0.25">
      <c r="A46" s="8">
        <f t="shared" si="2"/>
        <v>11</v>
      </c>
      <c r="B46" s="4">
        <v>2.5</v>
      </c>
      <c r="C46" s="4">
        <v>13.051452566045199</v>
      </c>
      <c r="D46" s="4">
        <v>5.6</v>
      </c>
      <c r="E46" s="4">
        <v>22.669105896725601</v>
      </c>
      <c r="F46" s="4">
        <v>5.6</v>
      </c>
      <c r="G46" s="4">
        <v>12.669105896725601</v>
      </c>
      <c r="J46" s="4"/>
      <c r="K46" s="4"/>
      <c r="L46" s="4"/>
      <c r="M46" s="4"/>
      <c r="O46" s="4"/>
      <c r="P46" s="4"/>
      <c r="Q46" s="4"/>
      <c r="R46" s="4"/>
      <c r="S46" s="4"/>
      <c r="X46" s="4"/>
      <c r="Y46" s="4"/>
      <c r="Z46" s="4"/>
      <c r="AA46" s="4"/>
    </row>
    <row r="47" spans="1:36" hidden="1" outlineLevel="1" x14ac:dyDescent="0.25">
      <c r="A47" s="8">
        <f t="shared" si="2"/>
        <v>12</v>
      </c>
      <c r="B47" s="4">
        <v>2.8</v>
      </c>
      <c r="C47" s="4">
        <v>38.060204521863398</v>
      </c>
      <c r="D47" s="4">
        <v>5.9</v>
      </c>
      <c r="E47" s="4">
        <v>30.272855441683699</v>
      </c>
      <c r="F47" s="4">
        <v>5.9</v>
      </c>
      <c r="G47" s="4">
        <v>20.272855441683699</v>
      </c>
      <c r="J47" s="4"/>
      <c r="K47" s="4"/>
      <c r="L47" s="4"/>
      <c r="M47" s="4"/>
      <c r="O47" s="4"/>
      <c r="P47" s="4"/>
      <c r="Q47" s="4"/>
      <c r="R47" s="4"/>
      <c r="S47" s="4"/>
      <c r="X47" s="4"/>
      <c r="Y47" s="4"/>
      <c r="Z47" s="4"/>
      <c r="AA47" s="4"/>
    </row>
    <row r="48" spans="1:36" hidden="1" outlineLevel="1" x14ac:dyDescent="0.25">
      <c r="A48" s="8">
        <f t="shared" si="2"/>
        <v>13</v>
      </c>
      <c r="B48" s="4">
        <v>2.9</v>
      </c>
      <c r="C48" s="4">
        <v>10.038804843728499</v>
      </c>
      <c r="D48" s="4">
        <v>6.1</v>
      </c>
      <c r="E48" s="4">
        <v>24.895957377231301</v>
      </c>
      <c r="F48" s="4">
        <v>6.1</v>
      </c>
      <c r="G48" s="4">
        <v>14.8959573772313</v>
      </c>
      <c r="J48" s="4"/>
      <c r="K48" s="4"/>
      <c r="L48" s="4"/>
      <c r="M48" s="4"/>
      <c r="O48" s="4"/>
      <c r="P48" s="4"/>
      <c r="Q48" s="4"/>
      <c r="R48" s="4"/>
      <c r="S48" s="4"/>
      <c r="X48" s="4"/>
      <c r="Y48" s="4"/>
      <c r="Z48" s="4"/>
      <c r="AA48" s="4"/>
    </row>
    <row r="49" spans="1:27" hidden="1" outlineLevel="1" x14ac:dyDescent="0.25">
      <c r="A49" s="8">
        <f t="shared" si="2"/>
        <v>14</v>
      </c>
      <c r="B49" s="4">
        <v>3.3</v>
      </c>
      <c r="C49" s="4">
        <v>37.953699861402903</v>
      </c>
      <c r="D49" s="4">
        <v>7.1</v>
      </c>
      <c r="E49" s="4">
        <v>25.799948171503001</v>
      </c>
      <c r="F49" s="4">
        <v>7.1</v>
      </c>
      <c r="G49" s="4">
        <v>15.799948171503001</v>
      </c>
      <c r="J49" s="4"/>
      <c r="K49" s="4"/>
      <c r="L49" s="4"/>
      <c r="M49" s="4"/>
      <c r="O49" s="4"/>
      <c r="P49" s="4"/>
      <c r="Q49" s="4"/>
      <c r="R49" s="4"/>
      <c r="S49" s="4"/>
      <c r="X49" s="4"/>
      <c r="Y49" s="4"/>
      <c r="Z49" s="4"/>
      <c r="AA49" s="4"/>
    </row>
    <row r="50" spans="1:27" hidden="1" outlineLevel="1" x14ac:dyDescent="0.25">
      <c r="A50" s="8">
        <f t="shared" si="2"/>
        <v>15</v>
      </c>
      <c r="B50" s="4">
        <v>3.9</v>
      </c>
      <c r="C50" s="4">
        <v>12.9335215777737</v>
      </c>
      <c r="D50" s="4">
        <v>7.5</v>
      </c>
      <c r="E50" s="4">
        <v>32.997553571538802</v>
      </c>
      <c r="F50" s="4">
        <v>7.5</v>
      </c>
      <c r="G50" s="4">
        <v>22.997553571538798</v>
      </c>
      <c r="J50" s="4"/>
      <c r="K50" s="4"/>
      <c r="L50" s="4"/>
      <c r="M50" s="4"/>
      <c r="O50" s="4"/>
      <c r="P50" s="4"/>
      <c r="Q50" s="4"/>
      <c r="R50" s="4"/>
      <c r="S50" s="4"/>
      <c r="X50" s="4"/>
      <c r="Y50" s="4"/>
      <c r="Z50" s="4"/>
      <c r="AA50" s="4"/>
    </row>
    <row r="51" spans="1:27" hidden="1" outlineLevel="1" x14ac:dyDescent="0.25">
      <c r="A51" s="8">
        <f t="shared" si="2"/>
        <v>16</v>
      </c>
      <c r="B51" s="4"/>
      <c r="C51" s="4"/>
      <c r="D51" s="4">
        <v>7.5</v>
      </c>
      <c r="E51" s="4">
        <v>27.4194344523764</v>
      </c>
      <c r="F51" s="4">
        <v>7.5</v>
      </c>
      <c r="G51" s="4">
        <v>17.4194344523764</v>
      </c>
      <c r="J51" s="4"/>
      <c r="K51" s="4"/>
      <c r="L51" s="4"/>
      <c r="M51" s="4"/>
      <c r="O51" s="4"/>
      <c r="P51" s="4"/>
      <c r="Q51" s="4"/>
      <c r="R51" s="4"/>
      <c r="S51" s="4"/>
      <c r="X51" s="4"/>
      <c r="Y51" s="4"/>
      <c r="Z51" s="4"/>
      <c r="AA51" s="4"/>
    </row>
    <row r="52" spans="1:27" hidden="1" outlineLevel="1" x14ac:dyDescent="0.25">
      <c r="A52" s="8">
        <f t="shared" si="2"/>
        <v>17</v>
      </c>
      <c r="B52" s="4"/>
      <c r="C52" s="4"/>
      <c r="D52" s="4">
        <v>8.6</v>
      </c>
      <c r="E52" s="4">
        <v>29.033136302777098</v>
      </c>
      <c r="F52" s="4">
        <v>8.6</v>
      </c>
      <c r="G52" s="4">
        <v>19.033136302777098</v>
      </c>
      <c r="J52" s="4"/>
      <c r="K52" s="4"/>
      <c r="L52" s="4"/>
      <c r="M52" s="4"/>
      <c r="O52" s="4"/>
      <c r="P52" s="4"/>
      <c r="Q52" s="4"/>
      <c r="R52" s="4"/>
      <c r="S52" s="4"/>
      <c r="X52" s="4"/>
      <c r="Y52" s="4"/>
      <c r="Z52" s="4"/>
      <c r="AA52" s="4"/>
    </row>
    <row r="53" spans="1:27" hidden="1" outlineLevel="1" x14ac:dyDescent="0.25">
      <c r="A53" s="8">
        <f t="shared" si="2"/>
        <v>18</v>
      </c>
      <c r="B53" s="4"/>
      <c r="C53" s="4"/>
      <c r="D53" s="4">
        <v>9</v>
      </c>
      <c r="E53" s="4">
        <v>34.505901661596901</v>
      </c>
      <c r="F53" s="4">
        <v>9</v>
      </c>
      <c r="G53" s="4">
        <v>24.505901661596901</v>
      </c>
      <c r="J53" s="4"/>
      <c r="K53" s="4"/>
      <c r="L53" s="4"/>
      <c r="M53" s="4"/>
      <c r="O53" s="4"/>
      <c r="P53" s="4"/>
      <c r="Q53" s="4"/>
      <c r="R53" s="4"/>
      <c r="S53" s="4"/>
      <c r="X53" s="4"/>
      <c r="Y53" s="4"/>
      <c r="Z53" s="4"/>
      <c r="AA53" s="4"/>
    </row>
    <row r="54" spans="1:27" hidden="1" outlineLevel="1" x14ac:dyDescent="0.25">
      <c r="A54" s="8">
        <f t="shared" si="2"/>
        <v>19</v>
      </c>
      <c r="B54" s="4"/>
      <c r="C54" s="4"/>
      <c r="D54" s="4">
        <v>9.1</v>
      </c>
      <c r="E54" s="4">
        <v>49.514956223430197</v>
      </c>
      <c r="F54" s="4">
        <v>9.1</v>
      </c>
      <c r="G54" s="4">
        <v>39.514956223430197</v>
      </c>
      <c r="J54" s="4"/>
      <c r="K54" s="4"/>
      <c r="L54" s="4"/>
      <c r="M54" s="4"/>
      <c r="O54" s="4"/>
      <c r="P54" s="4"/>
      <c r="Q54" s="4"/>
      <c r="R54" s="4"/>
      <c r="S54" s="4"/>
      <c r="X54" s="4"/>
      <c r="Y54" s="4"/>
      <c r="Z54" s="4"/>
      <c r="AA54" s="4"/>
    </row>
    <row r="55" spans="1:27" hidden="1" outlineLevel="1" x14ac:dyDescent="0.25">
      <c r="A55" s="8">
        <f t="shared" si="2"/>
        <v>20</v>
      </c>
      <c r="B55" s="4"/>
      <c r="C55" s="4"/>
      <c r="D55" s="4">
        <v>10.1</v>
      </c>
      <c r="E55" s="4">
        <v>30.338180943155201</v>
      </c>
      <c r="F55" s="4">
        <v>10.1</v>
      </c>
      <c r="G55" s="4">
        <v>20.338180943155201</v>
      </c>
      <c r="J55" s="4"/>
      <c r="K55" s="4"/>
      <c r="L55" s="4"/>
      <c r="M55" s="4"/>
      <c r="O55" s="4"/>
      <c r="P55" s="4"/>
      <c r="Q55" s="4"/>
      <c r="R55" s="4"/>
      <c r="S55" s="4"/>
      <c r="X55" s="4"/>
      <c r="Y55" s="4"/>
      <c r="Z55" s="4"/>
      <c r="AA55" s="4"/>
    </row>
    <row r="56" spans="1:27" hidden="1" outlineLevel="1" x14ac:dyDescent="0.25">
      <c r="A56" s="8">
        <f t="shared" si="2"/>
        <v>21</v>
      </c>
      <c r="B56" s="4"/>
      <c r="C56" s="4"/>
      <c r="D56" s="4">
        <v>10.5</v>
      </c>
      <c r="E56" s="4">
        <v>39.969411931660403</v>
      </c>
      <c r="F56" s="4">
        <v>10.5</v>
      </c>
      <c r="G56" s="4">
        <v>29.9694119316604</v>
      </c>
      <c r="J56" s="4"/>
      <c r="K56" s="4"/>
      <c r="L56" s="4"/>
      <c r="M56" s="4"/>
      <c r="O56" s="4"/>
      <c r="P56" s="4"/>
      <c r="Q56" s="4"/>
      <c r="R56" s="4"/>
      <c r="S56" s="4"/>
      <c r="X56" s="4"/>
      <c r="Y56" s="4"/>
      <c r="Z56" s="4"/>
      <c r="AA56" s="4"/>
    </row>
    <row r="57" spans="1:27" hidden="1" outlineLevel="1" x14ac:dyDescent="0.25">
      <c r="A57" s="8">
        <f t="shared" si="2"/>
        <v>22</v>
      </c>
      <c r="B57" s="4"/>
      <c r="C57" s="4"/>
      <c r="D57" s="4">
        <v>11</v>
      </c>
      <c r="E57" s="4">
        <v>27.186051964238299</v>
      </c>
      <c r="F57" s="4">
        <v>11</v>
      </c>
      <c r="G57" s="4">
        <v>17.186051964238299</v>
      </c>
      <c r="J57" s="4"/>
      <c r="K57" s="4"/>
      <c r="L57" s="4"/>
      <c r="M57" s="4"/>
      <c r="O57" s="4"/>
      <c r="P57" s="4"/>
      <c r="Q57" s="4"/>
      <c r="R57" s="4"/>
      <c r="S57" s="4"/>
      <c r="X57" s="4"/>
      <c r="Y57" s="4"/>
      <c r="Z57" s="4"/>
      <c r="AA57" s="4"/>
    </row>
    <row r="58" spans="1:27" hidden="1" outlineLevel="1" x14ac:dyDescent="0.25">
      <c r="A58" s="8">
        <f t="shared" si="2"/>
        <v>23</v>
      </c>
      <c r="B58" s="4"/>
      <c r="C58" s="4"/>
      <c r="D58" s="4">
        <v>11.6</v>
      </c>
      <c r="E58" s="4">
        <v>34.787950491445201</v>
      </c>
      <c r="F58" s="4">
        <v>11.6</v>
      </c>
      <c r="G58" s="4">
        <v>24.787950491445201</v>
      </c>
      <c r="J58" s="4"/>
      <c r="K58" s="4"/>
      <c r="L58" s="4"/>
      <c r="M58" s="4"/>
      <c r="O58" s="4"/>
      <c r="P58" s="4"/>
      <c r="Q58" s="4"/>
      <c r="R58" s="4"/>
      <c r="S58" s="4"/>
      <c r="X58" s="4"/>
      <c r="Y58" s="4"/>
      <c r="Z58" s="4"/>
      <c r="AA58" s="4"/>
    </row>
    <row r="59" spans="1:27" hidden="1" outlineLevel="1" x14ac:dyDescent="0.25">
      <c r="A59" s="8">
        <f t="shared" si="2"/>
        <v>24</v>
      </c>
      <c r="B59" s="4"/>
      <c r="C59" s="4"/>
      <c r="D59" s="4">
        <v>12.1</v>
      </c>
      <c r="E59" s="4">
        <v>43.708313537726802</v>
      </c>
      <c r="F59" s="4">
        <v>12.1</v>
      </c>
      <c r="G59" s="4">
        <v>33.708313537726802</v>
      </c>
      <c r="J59" s="4"/>
      <c r="K59" s="4"/>
      <c r="L59" s="4"/>
      <c r="M59" s="4"/>
      <c r="O59" s="4"/>
      <c r="P59" s="4"/>
      <c r="Q59" s="4"/>
      <c r="R59" s="4"/>
      <c r="S59" s="4"/>
      <c r="X59" s="4"/>
      <c r="Y59" s="4"/>
      <c r="Z59" s="4"/>
      <c r="AA59" s="4"/>
    </row>
    <row r="60" spans="1:27" hidden="1" outlineLevel="1" x14ac:dyDescent="0.25">
      <c r="A60" s="8">
        <f t="shared" si="2"/>
        <v>25</v>
      </c>
      <c r="B60" s="4"/>
      <c r="C60" s="4"/>
      <c r="D60" s="4">
        <v>12.6</v>
      </c>
      <c r="E60" s="4">
        <v>27.780922794049602</v>
      </c>
      <c r="F60" s="4">
        <v>12.6</v>
      </c>
      <c r="G60" s="4">
        <v>17.780922794049602</v>
      </c>
      <c r="J60" s="4"/>
      <c r="K60" s="4"/>
      <c r="L60" s="4"/>
      <c r="M60" s="4"/>
      <c r="O60" s="4"/>
      <c r="P60" s="4"/>
      <c r="Q60" s="4"/>
      <c r="R60" s="4"/>
      <c r="S60" s="4"/>
      <c r="X60" s="4"/>
      <c r="Y60" s="4"/>
      <c r="Z60" s="4"/>
      <c r="AA60" s="4"/>
    </row>
    <row r="61" spans="1:27" hidden="1" outlineLevel="1" x14ac:dyDescent="0.25">
      <c r="A61" s="8">
        <f t="shared" si="2"/>
        <v>26</v>
      </c>
      <c r="B61" s="4"/>
      <c r="C61" s="4"/>
      <c r="D61" s="4">
        <v>13</v>
      </c>
      <c r="E61" s="4">
        <v>33.862904370252899</v>
      </c>
      <c r="F61" s="4">
        <v>13</v>
      </c>
      <c r="G61" s="4">
        <v>23.862904370252899</v>
      </c>
      <c r="J61" s="4"/>
      <c r="K61" s="4"/>
      <c r="L61" s="4"/>
      <c r="M61" s="4"/>
      <c r="O61" s="4"/>
      <c r="P61" s="4"/>
      <c r="Q61" s="4"/>
      <c r="R61" s="4"/>
      <c r="S61" s="4"/>
      <c r="X61" s="4"/>
      <c r="Y61" s="4"/>
      <c r="Z61" s="4"/>
      <c r="AA61" s="4"/>
    </row>
    <row r="62" spans="1:27" hidden="1" outlineLevel="1" x14ac:dyDescent="0.25">
      <c r="A62" s="8">
        <f t="shared" si="2"/>
        <v>27</v>
      </c>
      <c r="B62" s="4"/>
      <c r="C62" s="4"/>
      <c r="D62" s="4">
        <v>13.6</v>
      </c>
      <c r="E62" s="4">
        <v>44.506487817218201</v>
      </c>
      <c r="F62" s="4">
        <v>13.6</v>
      </c>
      <c r="G62" s="4">
        <v>34.506487817218201</v>
      </c>
      <c r="J62" s="4"/>
      <c r="K62" s="4"/>
      <c r="L62" s="4"/>
      <c r="M62" s="4"/>
      <c r="O62" s="4"/>
      <c r="P62" s="4"/>
      <c r="Q62" s="4"/>
      <c r="R62" s="4"/>
      <c r="S62" s="4"/>
      <c r="X62" s="4"/>
      <c r="Y62" s="4"/>
      <c r="Z62" s="4"/>
      <c r="AA62" s="4"/>
    </row>
    <row r="63" spans="1:27" hidden="1" outlineLevel="1" x14ac:dyDescent="0.25">
      <c r="A63" s="8">
        <f t="shared" si="2"/>
        <v>28</v>
      </c>
      <c r="B63" s="4"/>
      <c r="C63" s="4"/>
      <c r="D63" s="4">
        <v>14.1</v>
      </c>
      <c r="E63" s="4">
        <v>34.867621380488998</v>
      </c>
      <c r="F63" s="4">
        <v>14.1</v>
      </c>
      <c r="G63" s="4">
        <v>24.867621380488998</v>
      </c>
      <c r="J63" s="4"/>
      <c r="K63" s="4"/>
      <c r="L63" s="4"/>
      <c r="M63" s="4"/>
      <c r="O63" s="4"/>
      <c r="P63" s="4"/>
      <c r="Q63" s="4"/>
      <c r="R63" s="4"/>
      <c r="S63" s="4"/>
      <c r="X63" s="4"/>
      <c r="Y63" s="4"/>
      <c r="Z63" s="4"/>
      <c r="AA63" s="4"/>
    </row>
    <row r="64" spans="1:27" hidden="1" outlineLevel="1" x14ac:dyDescent="0.25">
      <c r="A64" s="8">
        <f t="shared" si="2"/>
        <v>29</v>
      </c>
      <c r="B64" s="4"/>
      <c r="C64" s="4"/>
      <c r="D64" s="4">
        <v>14.6</v>
      </c>
      <c r="E64" s="4">
        <v>38.006561857928197</v>
      </c>
      <c r="F64" s="4">
        <v>14.6</v>
      </c>
      <c r="G64" s="4">
        <v>28.006561857928201</v>
      </c>
      <c r="J64" s="4"/>
      <c r="K64" s="4"/>
      <c r="L64" s="4"/>
      <c r="M64" s="4"/>
      <c r="O64" s="4"/>
      <c r="P64" s="4"/>
      <c r="Q64" s="4"/>
      <c r="R64" s="4"/>
      <c r="S64" s="4"/>
      <c r="X64" s="4"/>
      <c r="Y64" s="4"/>
      <c r="Z64" s="4"/>
      <c r="AA64" s="4"/>
    </row>
    <row r="65" spans="1:27" hidden="1" outlineLevel="1" x14ac:dyDescent="0.25">
      <c r="A65" s="8">
        <f t="shared" si="2"/>
        <v>30</v>
      </c>
      <c r="B65" s="4"/>
      <c r="C65" s="4"/>
      <c r="D65" s="4">
        <v>15.1</v>
      </c>
      <c r="E65" s="4">
        <v>51.390114331196401</v>
      </c>
      <c r="F65" s="4">
        <v>15.1</v>
      </c>
      <c r="G65" s="4">
        <v>41.390114331196401</v>
      </c>
      <c r="J65" s="4"/>
      <c r="K65" s="4"/>
      <c r="L65" s="4"/>
      <c r="M65" s="4"/>
      <c r="O65" s="4"/>
      <c r="P65" s="4"/>
      <c r="Q65" s="4"/>
      <c r="R65" s="4"/>
      <c r="S65" s="4"/>
      <c r="X65" s="4"/>
      <c r="Y65" s="4"/>
      <c r="Z65" s="4"/>
      <c r="AA65" s="4"/>
    </row>
    <row r="66" spans="1:27" hidden="1" outlineLevel="1" x14ac:dyDescent="0.25">
      <c r="A66" s="8">
        <f t="shared" si="2"/>
        <v>31</v>
      </c>
      <c r="B66" s="4"/>
      <c r="C66" s="4"/>
      <c r="D66" s="4">
        <v>15.7</v>
      </c>
      <c r="E66" s="4">
        <v>35.664407396666903</v>
      </c>
      <c r="F66" s="4">
        <v>15.7</v>
      </c>
      <c r="G66" s="4">
        <v>25.664407396666899</v>
      </c>
      <c r="J66" s="4"/>
      <c r="K66" s="4"/>
      <c r="L66" s="4"/>
      <c r="M66" s="4"/>
      <c r="O66" s="4"/>
      <c r="P66" s="4"/>
      <c r="Q66" s="4"/>
      <c r="R66" s="4"/>
      <c r="S66" s="4"/>
      <c r="X66" s="4"/>
      <c r="Y66" s="4"/>
      <c r="Z66" s="4"/>
      <c r="AA66" s="4"/>
    </row>
    <row r="67" spans="1:27" hidden="1" outlineLevel="1" x14ac:dyDescent="0.25">
      <c r="A67" s="8">
        <f t="shared" si="2"/>
        <v>32</v>
      </c>
      <c r="B67" s="4"/>
      <c r="C67" s="4"/>
      <c r="D67" s="4">
        <v>16</v>
      </c>
      <c r="E67" s="4">
        <v>39.414646486459802</v>
      </c>
      <c r="F67" s="4">
        <v>16</v>
      </c>
      <c r="G67" s="4">
        <v>29.414646486459802</v>
      </c>
      <c r="J67" s="4"/>
      <c r="K67" s="4"/>
      <c r="L67" s="4"/>
      <c r="M67" s="4"/>
      <c r="O67" s="4"/>
      <c r="P67" s="4"/>
      <c r="Q67" s="4"/>
      <c r="R67" s="4"/>
      <c r="S67" s="4"/>
      <c r="X67" s="4"/>
      <c r="Y67" s="4"/>
      <c r="Z67" s="4"/>
      <c r="AA67" s="4"/>
    </row>
    <row r="68" spans="1:27" hidden="1" outlineLevel="1" x14ac:dyDescent="0.25">
      <c r="A68" s="8">
        <f t="shared" si="2"/>
        <v>33</v>
      </c>
      <c r="B68" s="4"/>
      <c r="C68" s="4"/>
      <c r="D68" s="4">
        <v>17.100000000000001</v>
      </c>
      <c r="E68" s="4">
        <v>38.694986209917801</v>
      </c>
      <c r="F68" s="4">
        <v>17.100000000000001</v>
      </c>
      <c r="G68" s="4">
        <v>28.694986209917801</v>
      </c>
      <c r="J68" s="4"/>
      <c r="K68" s="4"/>
      <c r="L68" s="4"/>
      <c r="M68" s="4"/>
      <c r="O68" s="4"/>
      <c r="P68" s="4"/>
      <c r="Q68" s="4"/>
      <c r="R68" s="4"/>
      <c r="S68" s="4"/>
      <c r="X68" s="4"/>
      <c r="Y68" s="4"/>
      <c r="Z68" s="4"/>
      <c r="AA68" s="4"/>
    </row>
    <row r="69" spans="1:27" hidden="1" outlineLevel="1" x14ac:dyDescent="0.25">
      <c r="A69" s="8">
        <f t="shared" si="2"/>
        <v>34</v>
      </c>
      <c r="B69" s="4"/>
      <c r="C69" s="4"/>
      <c r="D69" s="4">
        <v>17.600000000000001</v>
      </c>
      <c r="E69" s="4">
        <v>41.023489415263498</v>
      </c>
      <c r="F69" s="4">
        <v>17.600000000000001</v>
      </c>
      <c r="G69" s="4">
        <v>31.023489415263501</v>
      </c>
      <c r="J69" s="4"/>
      <c r="K69" s="4"/>
      <c r="L69" s="4"/>
      <c r="M69" s="4"/>
      <c r="O69" s="4"/>
      <c r="P69" s="4"/>
      <c r="Q69" s="4"/>
      <c r="R69" s="4"/>
      <c r="S69" s="4"/>
      <c r="X69" s="4"/>
      <c r="Y69" s="4"/>
      <c r="Z69" s="4"/>
      <c r="AA69" s="4"/>
    </row>
    <row r="70" spans="1:27" hidden="1" outlineLevel="1" x14ac:dyDescent="0.25">
      <c r="A70" s="8">
        <f t="shared" si="2"/>
        <v>35</v>
      </c>
      <c r="B70" s="4"/>
      <c r="C70" s="4"/>
      <c r="D70" s="4">
        <v>18.600000000000001</v>
      </c>
      <c r="E70" s="4">
        <v>48.621685906967798</v>
      </c>
      <c r="F70" s="4">
        <v>18.600000000000001</v>
      </c>
      <c r="G70" s="4">
        <v>38.621685906967798</v>
      </c>
      <c r="J70" s="4"/>
      <c r="K70" s="4"/>
      <c r="L70" s="4"/>
      <c r="M70" s="4"/>
      <c r="O70" s="4"/>
      <c r="P70" s="4"/>
      <c r="Q70" s="4"/>
      <c r="R70" s="4"/>
      <c r="S70" s="4"/>
      <c r="X70" s="4"/>
      <c r="Y70" s="4"/>
      <c r="Z70" s="4"/>
      <c r="AA70" s="4"/>
    </row>
    <row r="71" spans="1:27" hidden="1" outlineLevel="1" x14ac:dyDescent="0.25">
      <c r="A71" s="8">
        <f t="shared" si="2"/>
        <v>36</v>
      </c>
      <c r="B71" s="4"/>
      <c r="C71" s="4"/>
      <c r="D71" s="4">
        <v>19.100000000000001</v>
      </c>
      <c r="E71" s="4">
        <v>43.140590968267396</v>
      </c>
      <c r="F71" s="4">
        <v>19.100000000000001</v>
      </c>
      <c r="G71" s="4">
        <v>33.140590968267396</v>
      </c>
      <c r="J71" s="4"/>
      <c r="K71" s="4"/>
      <c r="L71" s="4"/>
      <c r="M71" s="4"/>
      <c r="O71" s="4"/>
      <c r="P71" s="4"/>
      <c r="Q71" s="4"/>
      <c r="R71" s="4"/>
      <c r="S71" s="4"/>
      <c r="X71" s="4"/>
      <c r="Y71" s="4"/>
      <c r="Z71" s="4"/>
      <c r="AA71" s="4"/>
    </row>
    <row r="72" spans="1:27" hidden="1" outlineLevel="1" x14ac:dyDescent="0.25">
      <c r="A72" s="8">
        <f t="shared" si="2"/>
        <v>37</v>
      </c>
      <c r="B72" s="4"/>
      <c r="C72" s="4"/>
      <c r="D72" s="4">
        <v>19.899999999999999</v>
      </c>
      <c r="E72" s="4">
        <v>43.843129330610303</v>
      </c>
      <c r="F72" s="4">
        <v>19.899999999999999</v>
      </c>
      <c r="G72" s="4">
        <v>33.843129330610303</v>
      </c>
      <c r="J72" s="4"/>
      <c r="K72" s="4"/>
      <c r="L72" s="4"/>
      <c r="M72" s="4"/>
      <c r="O72" s="4"/>
      <c r="P72" s="4"/>
      <c r="Q72" s="4"/>
      <c r="R72" s="4"/>
      <c r="S72" s="4"/>
      <c r="X72" s="4"/>
      <c r="Y72" s="4"/>
      <c r="Z72" s="4"/>
      <c r="AA72" s="4"/>
    </row>
    <row r="73" spans="1:27" hidden="1" outlineLevel="1" x14ac:dyDescent="0.25">
      <c r="A73" s="8">
        <f t="shared" si="2"/>
        <v>38</v>
      </c>
      <c r="B73" s="4"/>
      <c r="C73" s="4"/>
      <c r="D73" s="4">
        <v>20</v>
      </c>
      <c r="E73" s="4">
        <v>64.126736100399199</v>
      </c>
      <c r="F73" s="4">
        <v>20</v>
      </c>
      <c r="G73" s="4">
        <v>54.126736100399199</v>
      </c>
      <c r="J73" s="4"/>
      <c r="K73" s="4"/>
      <c r="L73" s="4"/>
      <c r="M73" s="4"/>
      <c r="O73" s="4"/>
      <c r="P73" s="4"/>
      <c r="Q73" s="4"/>
      <c r="R73" s="4"/>
      <c r="S73" s="4"/>
      <c r="X73" s="4"/>
      <c r="Y73" s="4"/>
      <c r="Z73" s="4"/>
      <c r="AA73" s="4"/>
    </row>
    <row r="74" spans="1:27" hidden="1" outlineLevel="1" x14ac:dyDescent="0.25">
      <c r="A74" s="8">
        <f t="shared" si="2"/>
        <v>39</v>
      </c>
      <c r="B74" s="4"/>
      <c r="C74" s="4"/>
      <c r="D74" s="4">
        <v>20.6</v>
      </c>
      <c r="E74" s="4">
        <v>43.837576277356497</v>
      </c>
      <c r="F74" s="4">
        <v>20.6</v>
      </c>
      <c r="G74" s="4">
        <v>33.837576277356497</v>
      </c>
      <c r="J74" s="4"/>
      <c r="K74" s="4"/>
      <c r="L74" s="4"/>
      <c r="M74" s="4"/>
      <c r="O74" s="4"/>
      <c r="P74" s="4"/>
      <c r="Q74" s="4"/>
      <c r="R74" s="4"/>
      <c r="S74" s="4"/>
      <c r="X74" s="4"/>
      <c r="Y74" s="4"/>
      <c r="Z74" s="4"/>
      <c r="AA74" s="4"/>
    </row>
    <row r="75" spans="1:27" hidden="1" outlineLevel="1" x14ac:dyDescent="0.25">
      <c r="A75" s="8">
        <f t="shared" si="2"/>
        <v>40</v>
      </c>
      <c r="B75" s="4"/>
      <c r="C75" s="4"/>
      <c r="D75" s="4">
        <v>21.3</v>
      </c>
      <c r="E75" s="4">
        <v>43.2221128750625</v>
      </c>
      <c r="F75" s="4">
        <v>21.3</v>
      </c>
      <c r="G75" s="4">
        <v>33.2221128750625</v>
      </c>
      <c r="J75" s="4"/>
      <c r="K75" s="4"/>
      <c r="L75" s="4"/>
      <c r="M75" s="4"/>
      <c r="O75" s="4"/>
      <c r="P75" s="4"/>
      <c r="Q75" s="4"/>
      <c r="R75" s="4"/>
      <c r="S75" s="4"/>
      <c r="X75" s="4"/>
      <c r="Y75" s="4"/>
      <c r="Z75" s="4"/>
      <c r="AA75" s="4"/>
    </row>
    <row r="76" spans="1:27" hidden="1" outlineLevel="1" x14ac:dyDescent="0.25">
      <c r="A76" s="8">
        <f t="shared" si="2"/>
        <v>41</v>
      </c>
      <c r="B76" s="4"/>
      <c r="C76" s="4"/>
      <c r="D76" s="4">
        <v>21.6</v>
      </c>
      <c r="E76" s="4">
        <v>63.909550017584699</v>
      </c>
      <c r="F76" s="4">
        <v>21.6</v>
      </c>
      <c r="G76" s="4">
        <v>53.909550017584699</v>
      </c>
      <c r="J76" s="4"/>
      <c r="K76" s="4"/>
      <c r="L76" s="4"/>
      <c r="M76" s="4"/>
      <c r="O76" s="4"/>
      <c r="P76" s="4"/>
      <c r="Q76" s="4"/>
      <c r="R76" s="4"/>
      <c r="S76" s="4"/>
      <c r="X76" s="4"/>
      <c r="Y76" s="4"/>
      <c r="Z76" s="4"/>
      <c r="AA76" s="4"/>
    </row>
    <row r="77" spans="1:27" hidden="1" outlineLevel="1" x14ac:dyDescent="0.25">
      <c r="A77" s="8">
        <f t="shared" si="2"/>
        <v>42</v>
      </c>
      <c r="B77" s="4"/>
      <c r="C77" s="4"/>
      <c r="D77" s="4">
        <v>22.1</v>
      </c>
      <c r="E77" s="4">
        <v>49.706305183466696</v>
      </c>
      <c r="F77" s="4">
        <v>22.1</v>
      </c>
      <c r="G77" s="4">
        <v>39.706305183466696</v>
      </c>
      <c r="J77" s="4"/>
      <c r="K77" s="4"/>
      <c r="L77" s="4"/>
      <c r="M77" s="4"/>
      <c r="O77" s="4"/>
      <c r="P77" s="4"/>
      <c r="Q77" s="4"/>
      <c r="R77" s="4"/>
      <c r="S77" s="4"/>
      <c r="X77" s="4"/>
      <c r="Y77" s="4"/>
      <c r="Z77" s="4"/>
      <c r="AA77" s="4"/>
    </row>
    <row r="78" spans="1:27" hidden="1" outlineLevel="1" x14ac:dyDescent="0.25">
      <c r="A78" s="8">
        <f t="shared" si="2"/>
        <v>43</v>
      </c>
      <c r="B78" s="4"/>
      <c r="C78" s="4"/>
      <c r="D78" s="4">
        <v>23</v>
      </c>
      <c r="E78" s="4">
        <v>64.709112560389499</v>
      </c>
      <c r="F78" s="4">
        <v>23</v>
      </c>
      <c r="G78" s="4">
        <v>54.709112560389499</v>
      </c>
      <c r="J78" s="4"/>
      <c r="K78" s="4"/>
      <c r="L78" s="4"/>
      <c r="M78" s="4"/>
      <c r="O78" s="4"/>
      <c r="P78" s="4"/>
      <c r="Q78" s="4"/>
      <c r="R78" s="4"/>
      <c r="S78" s="4"/>
      <c r="X78" s="4"/>
      <c r="Y78" s="4"/>
      <c r="Z78" s="4"/>
      <c r="AA78" s="4"/>
    </row>
    <row r="79" spans="1:27" hidden="1" outlineLevel="1" x14ac:dyDescent="0.25">
      <c r="A79" s="8">
        <f t="shared" si="2"/>
        <v>44</v>
      </c>
      <c r="B79" s="4"/>
      <c r="C79" s="4"/>
      <c r="D79" s="4">
        <v>23.2</v>
      </c>
      <c r="E79" s="4">
        <v>48.8856873137413</v>
      </c>
      <c r="F79" s="4">
        <v>23.2</v>
      </c>
      <c r="G79" s="4">
        <v>38.8856873137413</v>
      </c>
      <c r="J79" s="4"/>
      <c r="K79" s="4"/>
      <c r="L79" s="4"/>
      <c r="M79" s="4"/>
      <c r="O79" s="4"/>
      <c r="P79" s="4"/>
      <c r="Q79" s="4"/>
      <c r="R79" s="4"/>
      <c r="S79" s="4"/>
      <c r="X79" s="4"/>
      <c r="Y79" s="4"/>
      <c r="Z79" s="4"/>
      <c r="AA79" s="4"/>
    </row>
    <row r="80" spans="1:27" hidden="1" outlineLevel="1" x14ac:dyDescent="0.25">
      <c r="A80" s="8">
        <f t="shared" si="2"/>
        <v>45</v>
      </c>
      <c r="B80" s="4"/>
      <c r="C80" s="4"/>
      <c r="D80" s="4">
        <v>23.6</v>
      </c>
      <c r="E80" s="4">
        <v>54.054654384135603</v>
      </c>
      <c r="F80" s="4">
        <v>23.6</v>
      </c>
      <c r="G80" s="4">
        <v>44.054654384135603</v>
      </c>
      <c r="J80" s="4"/>
      <c r="K80" s="4"/>
      <c r="L80" s="4"/>
      <c r="M80" s="4"/>
      <c r="O80" s="4"/>
      <c r="P80" s="4"/>
      <c r="Q80" s="4"/>
      <c r="R80" s="4"/>
      <c r="S80" s="4"/>
      <c r="X80" s="4"/>
      <c r="Y80" s="4"/>
      <c r="Z80" s="4"/>
      <c r="AA80" s="4"/>
    </row>
    <row r="81" spans="1:27" hidden="1" outlineLevel="1" x14ac:dyDescent="0.25">
      <c r="A81" s="8">
        <f t="shared" si="2"/>
        <v>46</v>
      </c>
      <c r="B81" s="4"/>
      <c r="C81" s="4"/>
      <c r="D81" s="4">
        <v>24.5</v>
      </c>
      <c r="E81" s="4">
        <v>64.290474045646107</v>
      </c>
      <c r="F81" s="4">
        <v>24.5</v>
      </c>
      <c r="G81" s="4">
        <v>54.290474045646107</v>
      </c>
      <c r="J81" s="4"/>
      <c r="K81" s="4"/>
      <c r="L81" s="4"/>
      <c r="M81" s="4"/>
      <c r="O81" s="4"/>
      <c r="P81" s="4"/>
      <c r="Q81" s="4"/>
      <c r="R81" s="4"/>
      <c r="S81" s="4"/>
      <c r="X81" s="4"/>
      <c r="Y81" s="4"/>
      <c r="Z81" s="4"/>
      <c r="AA81" s="4"/>
    </row>
    <row r="82" spans="1:27" hidden="1" outlineLevel="1" x14ac:dyDescent="0.25">
      <c r="A82" s="8">
        <f t="shared" si="2"/>
        <v>47</v>
      </c>
      <c r="B82" s="4"/>
      <c r="C82" s="4"/>
      <c r="D82" s="4">
        <v>24.6</v>
      </c>
      <c r="E82" s="4">
        <v>51.002788866745199</v>
      </c>
      <c r="F82" s="4">
        <v>24.6</v>
      </c>
      <c r="G82" s="4">
        <v>41.002788866745199</v>
      </c>
      <c r="J82" s="4"/>
      <c r="K82" s="4"/>
      <c r="L82" s="4"/>
      <c r="M82" s="4"/>
      <c r="O82" s="4"/>
      <c r="P82" s="4"/>
      <c r="Q82" s="4"/>
      <c r="R82" s="4"/>
      <c r="S82" s="4"/>
      <c r="X82" s="4"/>
      <c r="Y82" s="4"/>
      <c r="Z82" s="4"/>
      <c r="AA82" s="4"/>
    </row>
    <row r="83" spans="1:27" hidden="1" outlineLevel="1" x14ac:dyDescent="0.25">
      <c r="A83" s="8">
        <f t="shared" si="2"/>
        <v>48</v>
      </c>
      <c r="B83" s="4"/>
      <c r="C83" s="4"/>
      <c r="D83" s="4">
        <v>25.2</v>
      </c>
      <c r="E83" s="4">
        <v>56.880078729955002</v>
      </c>
      <c r="F83" s="4">
        <v>25.2</v>
      </c>
      <c r="G83" s="4">
        <v>46.880078729955002</v>
      </c>
      <c r="J83" s="4"/>
      <c r="K83" s="4"/>
      <c r="L83" s="4"/>
      <c r="M83" s="4"/>
      <c r="O83" s="4"/>
      <c r="P83" s="4"/>
      <c r="Q83" s="4"/>
      <c r="R83" s="4"/>
      <c r="S83" s="4"/>
      <c r="X83" s="4"/>
      <c r="Y83" s="4"/>
      <c r="Z83" s="4"/>
      <c r="AA83" s="4"/>
    </row>
    <row r="84" spans="1:27" hidden="1" outlineLevel="1" x14ac:dyDescent="0.25">
      <c r="A84" s="8">
        <f t="shared" si="2"/>
        <v>49</v>
      </c>
      <c r="B84" s="4"/>
      <c r="C84" s="4"/>
      <c r="D84" s="4">
        <v>25.9</v>
      </c>
      <c r="E84" s="4">
        <v>66.306618005466703</v>
      </c>
      <c r="F84" s="4">
        <v>25.9</v>
      </c>
      <c r="G84" s="4">
        <v>56.306618005466703</v>
      </c>
      <c r="J84" s="4"/>
      <c r="K84" s="4"/>
      <c r="L84" s="4"/>
      <c r="M84" s="4"/>
      <c r="O84" s="4"/>
      <c r="P84" s="4"/>
      <c r="Q84" s="4"/>
      <c r="R84" s="4"/>
      <c r="S84" s="4"/>
      <c r="X84" s="4"/>
      <c r="Y84" s="4"/>
      <c r="Z84" s="4"/>
      <c r="AA84" s="4"/>
    </row>
    <row r="85" spans="1:27" hidden="1" outlineLevel="1" x14ac:dyDescent="0.25">
      <c r="A85" s="8">
        <f t="shared" si="2"/>
        <v>50</v>
      </c>
      <c r="B85" s="4"/>
      <c r="C85" s="4"/>
      <c r="D85" s="4">
        <v>26.2</v>
      </c>
      <c r="E85" s="4">
        <v>52.206413159502198</v>
      </c>
      <c r="F85" s="4">
        <v>26.2</v>
      </c>
      <c r="G85" s="4">
        <v>42.206413159502198</v>
      </c>
      <c r="J85" s="4"/>
      <c r="K85" s="4"/>
      <c r="L85" s="4"/>
      <c r="M85" s="4"/>
      <c r="O85" s="4"/>
      <c r="P85" s="4"/>
      <c r="Q85" s="4"/>
      <c r="R85" s="4"/>
      <c r="S85" s="4"/>
      <c r="X85" s="4"/>
      <c r="Y85" s="4"/>
      <c r="Z85" s="4"/>
      <c r="AA85" s="4"/>
    </row>
    <row r="86" spans="1:27" hidden="1" outlineLevel="1" x14ac:dyDescent="0.25">
      <c r="A86" s="8">
        <f t="shared" si="2"/>
        <v>51</v>
      </c>
      <c r="B86" s="4"/>
      <c r="C86" s="4"/>
      <c r="D86" s="4">
        <v>26.5</v>
      </c>
      <c r="E86" s="4">
        <v>58.897148198651202</v>
      </c>
      <c r="F86" s="4">
        <v>26.5</v>
      </c>
      <c r="G86" s="4">
        <v>48.897148198651202</v>
      </c>
      <c r="J86" s="4"/>
      <c r="K86" s="4"/>
      <c r="L86" s="4"/>
      <c r="M86" s="4"/>
      <c r="O86" s="4"/>
      <c r="P86" s="4"/>
      <c r="Q86" s="4"/>
      <c r="R86" s="4"/>
      <c r="S86" s="4"/>
      <c r="X86" s="4"/>
      <c r="Y86" s="4"/>
      <c r="Z86" s="4"/>
      <c r="AA86" s="4"/>
    </row>
    <row r="87" spans="1:27" hidden="1" outlineLevel="1" x14ac:dyDescent="0.25">
      <c r="A87" s="8">
        <f t="shared" si="2"/>
        <v>52</v>
      </c>
      <c r="B87" s="4"/>
      <c r="C87" s="4"/>
      <c r="D87" s="4">
        <v>27.6</v>
      </c>
      <c r="E87" s="4">
        <v>68.928738901606096</v>
      </c>
      <c r="F87" s="4">
        <v>27.6</v>
      </c>
      <c r="G87" s="4">
        <v>58.928738901606103</v>
      </c>
      <c r="J87" s="4"/>
      <c r="K87" s="4"/>
      <c r="L87" s="4"/>
      <c r="M87" s="4"/>
      <c r="O87" s="4"/>
      <c r="P87" s="4"/>
      <c r="Q87" s="4"/>
      <c r="R87" s="4"/>
      <c r="S87" s="4"/>
      <c r="X87" s="4"/>
      <c r="Y87" s="4"/>
      <c r="Z87" s="4"/>
      <c r="AA87" s="4"/>
    </row>
    <row r="88" spans="1:27" hidden="1" outlineLevel="1" x14ac:dyDescent="0.25">
      <c r="A88" s="8">
        <f t="shared" si="2"/>
        <v>53</v>
      </c>
      <c r="B88" s="4"/>
      <c r="C88" s="4"/>
      <c r="D88" s="4">
        <v>27.6</v>
      </c>
      <c r="E88" s="4">
        <v>54.932499552670699</v>
      </c>
      <c r="F88" s="4">
        <v>27.6</v>
      </c>
      <c r="G88" s="4">
        <v>44.932499552670699</v>
      </c>
      <c r="J88" s="4"/>
      <c r="K88" s="4"/>
      <c r="L88" s="4"/>
      <c r="M88" s="4"/>
      <c r="O88" s="4"/>
      <c r="P88" s="4"/>
      <c r="Q88" s="4"/>
      <c r="R88" s="4"/>
      <c r="S88" s="4"/>
      <c r="X88" s="4"/>
      <c r="Y88" s="4"/>
      <c r="Z88" s="4"/>
      <c r="AA88" s="4"/>
    </row>
    <row r="89" spans="1:27" hidden="1" outlineLevel="1" x14ac:dyDescent="0.25">
      <c r="A89" s="8">
        <f t="shared" si="2"/>
        <v>54</v>
      </c>
      <c r="B89" s="4"/>
      <c r="C89" s="4"/>
      <c r="D89" s="4">
        <v>28</v>
      </c>
      <c r="E89" s="4">
        <v>64.969180554441493</v>
      </c>
      <c r="F89" s="4">
        <v>28</v>
      </c>
      <c r="G89" s="4">
        <v>54.969180554441493</v>
      </c>
      <c r="J89" s="4"/>
      <c r="K89" s="4"/>
      <c r="L89" s="4"/>
      <c r="M89" s="4"/>
      <c r="O89" s="4"/>
      <c r="P89" s="4"/>
      <c r="Q89" s="4"/>
      <c r="R89" s="4"/>
      <c r="S89" s="4"/>
      <c r="X89" s="4"/>
      <c r="Y89" s="4"/>
      <c r="Z89" s="4"/>
      <c r="AA89" s="4"/>
    </row>
    <row r="90" spans="1:27" hidden="1" outlineLevel="1" x14ac:dyDescent="0.25">
      <c r="A90" s="8">
        <f t="shared" si="2"/>
        <v>55</v>
      </c>
      <c r="B90" s="4"/>
      <c r="C90" s="4"/>
      <c r="D90" s="4">
        <v>28.9</v>
      </c>
      <c r="E90" s="4">
        <v>66.787111363397997</v>
      </c>
      <c r="F90" s="4">
        <v>28.9</v>
      </c>
      <c r="G90" s="4">
        <v>56.787111363397997</v>
      </c>
      <c r="J90" s="4"/>
      <c r="K90" s="4"/>
      <c r="L90" s="4"/>
      <c r="M90" s="4"/>
      <c r="O90" s="4"/>
      <c r="P90" s="4"/>
      <c r="Q90" s="4"/>
      <c r="R90" s="4"/>
      <c r="S90" s="4"/>
      <c r="X90" s="4"/>
      <c r="Y90" s="4"/>
      <c r="Z90" s="4"/>
      <c r="AA90" s="4"/>
    </row>
    <row r="91" spans="1:27" hidden="1" outlineLevel="1" x14ac:dyDescent="0.25">
      <c r="A91" s="8">
        <f t="shared" si="2"/>
        <v>56</v>
      </c>
      <c r="B91" s="4"/>
      <c r="C91" s="4"/>
      <c r="D91" s="4">
        <v>29.1</v>
      </c>
      <c r="E91" s="4">
        <v>49.645452974893999</v>
      </c>
      <c r="F91" s="4">
        <v>29.1</v>
      </c>
      <c r="G91" s="4">
        <v>39.645452974893999</v>
      </c>
      <c r="J91" s="4"/>
      <c r="K91" s="4"/>
      <c r="L91" s="4"/>
      <c r="M91" s="4"/>
      <c r="O91" s="4"/>
      <c r="P91" s="4"/>
      <c r="Q91" s="4"/>
      <c r="R91" s="4"/>
      <c r="S91" s="4"/>
      <c r="X91" s="4"/>
      <c r="Y91" s="4"/>
      <c r="Z91" s="4"/>
      <c r="AA91" s="4"/>
    </row>
    <row r="92" spans="1:27" hidden="1" outlineLevel="1" x14ac:dyDescent="0.25">
      <c r="A92" s="8">
        <f t="shared" si="2"/>
        <v>57</v>
      </c>
      <c r="B92" s="4"/>
      <c r="C92" s="4"/>
      <c r="D92" s="4">
        <v>29.2</v>
      </c>
      <c r="E92" s="4">
        <v>66.784334836771095</v>
      </c>
      <c r="F92" s="4">
        <v>29.2</v>
      </c>
      <c r="G92" s="4">
        <v>56.784334836771087</v>
      </c>
      <c r="J92" s="4"/>
      <c r="K92" s="4"/>
      <c r="L92" s="4"/>
      <c r="M92" s="4"/>
      <c r="O92" s="4"/>
      <c r="P92" s="4"/>
      <c r="Q92" s="4"/>
      <c r="R92" s="4"/>
      <c r="S92" s="4"/>
      <c r="X92" s="4"/>
      <c r="Y92" s="4"/>
      <c r="Z92" s="4"/>
      <c r="AA92" s="4"/>
    </row>
    <row r="93" spans="1:27" hidden="1" outlineLevel="1" x14ac:dyDescent="0.25">
      <c r="A93" s="8">
        <f t="shared" si="2"/>
        <v>58</v>
      </c>
      <c r="B93" s="4"/>
      <c r="C93" s="4"/>
      <c r="D93" s="4">
        <v>29.6</v>
      </c>
      <c r="E93" s="4">
        <v>66.781326932925296</v>
      </c>
      <c r="F93" s="4">
        <v>29.6</v>
      </c>
      <c r="G93" s="4">
        <v>56.781326932925303</v>
      </c>
      <c r="J93" s="4"/>
      <c r="K93" s="4"/>
      <c r="L93" s="4"/>
      <c r="M93" s="4"/>
      <c r="O93" s="4"/>
      <c r="P93" s="4"/>
      <c r="Q93" s="4"/>
      <c r="R93" s="4"/>
      <c r="S93" s="4"/>
      <c r="X93" s="4"/>
      <c r="Y93" s="4"/>
      <c r="Z93" s="4"/>
      <c r="AA93" s="4"/>
    </row>
    <row r="94" spans="1:27" hidden="1" outlineLevel="1" x14ac:dyDescent="0.25">
      <c r="A94" s="8">
        <f t="shared" si="2"/>
        <v>59</v>
      </c>
      <c r="B94" s="4"/>
      <c r="C94" s="4"/>
      <c r="D94" s="4">
        <v>30.5</v>
      </c>
      <c r="E94" s="4">
        <v>68.598563610225</v>
      </c>
      <c r="F94" s="4">
        <v>30.5</v>
      </c>
      <c r="G94" s="4">
        <v>58.598563610225</v>
      </c>
      <c r="J94" s="4"/>
      <c r="K94" s="4"/>
      <c r="L94" s="4"/>
      <c r="M94" s="4"/>
      <c r="O94" s="4"/>
      <c r="P94" s="4"/>
      <c r="Q94" s="4"/>
      <c r="R94" s="4"/>
      <c r="S94" s="4"/>
      <c r="X94" s="4"/>
      <c r="Y94" s="4"/>
      <c r="Z94" s="4"/>
      <c r="AA94" s="4"/>
    </row>
    <row r="95" spans="1:27" hidden="1" outlineLevel="1" x14ac:dyDescent="0.25">
      <c r="A95" s="8">
        <f t="shared" si="2"/>
        <v>60</v>
      </c>
      <c r="B95" s="4"/>
      <c r="C95" s="4"/>
      <c r="D95" s="4">
        <v>30.6</v>
      </c>
      <c r="E95" s="4">
        <v>49.835336545877503</v>
      </c>
      <c r="F95" s="4">
        <v>30.6</v>
      </c>
      <c r="G95" s="4">
        <v>39.835336545877503</v>
      </c>
      <c r="J95" s="4"/>
      <c r="K95" s="4"/>
      <c r="L95" s="4"/>
      <c r="M95" s="4"/>
      <c r="O95" s="4"/>
      <c r="P95" s="4"/>
      <c r="Q95" s="4"/>
      <c r="R95" s="4"/>
      <c r="S95" s="4"/>
      <c r="X95" s="4"/>
      <c r="Y95" s="4"/>
      <c r="Z95" s="4"/>
      <c r="AA95" s="4"/>
    </row>
    <row r="96" spans="1:27" hidden="1" outlineLevel="1" x14ac:dyDescent="0.25">
      <c r="A96" s="8">
        <f t="shared" si="2"/>
        <v>61</v>
      </c>
      <c r="B96" s="4"/>
      <c r="C96" s="4"/>
      <c r="D96" s="4">
        <v>31</v>
      </c>
      <c r="E96" s="4">
        <v>80.765071912039602</v>
      </c>
      <c r="F96" s="4">
        <v>31</v>
      </c>
      <c r="G96" s="4">
        <v>70.765071912039602</v>
      </c>
      <c r="J96" s="4"/>
      <c r="K96" s="4"/>
      <c r="L96" s="4"/>
      <c r="M96" s="4"/>
      <c r="O96" s="4"/>
      <c r="P96" s="4"/>
      <c r="Q96" s="4"/>
      <c r="R96" s="4"/>
      <c r="S96" s="4"/>
      <c r="X96" s="4"/>
      <c r="Y96" s="4"/>
      <c r="Z96" s="4"/>
      <c r="AA96" s="4"/>
    </row>
    <row r="97" spans="1:32" hidden="1" outlineLevel="1" x14ac:dyDescent="0.25">
      <c r="A97" s="8">
        <f t="shared" si="2"/>
        <v>62</v>
      </c>
      <c r="B97" s="4"/>
      <c r="C97" s="4"/>
      <c r="D97" s="4">
        <v>31.9</v>
      </c>
      <c r="E97" s="4">
        <v>82.886569632202793</v>
      </c>
      <c r="F97" s="4">
        <v>31.9</v>
      </c>
      <c r="G97" s="4">
        <v>72.886569632202793</v>
      </c>
      <c r="J97" s="4"/>
      <c r="K97" s="4"/>
      <c r="L97" s="4"/>
      <c r="M97" s="4"/>
      <c r="O97" s="4"/>
      <c r="P97" s="4"/>
      <c r="Q97" s="4"/>
      <c r="R97" s="4"/>
      <c r="S97" s="4"/>
      <c r="X97" s="4"/>
      <c r="Y97" s="4"/>
      <c r="Z97" s="4"/>
      <c r="AA97" s="4"/>
    </row>
    <row r="98" spans="1:32" hidden="1" outlineLevel="1" x14ac:dyDescent="0.25">
      <c r="A98" s="8">
        <f t="shared" si="2"/>
        <v>63</v>
      </c>
      <c r="B98" s="4"/>
      <c r="C98" s="4"/>
      <c r="D98" s="4">
        <v>32</v>
      </c>
      <c r="E98" s="4">
        <v>97.693709007669398</v>
      </c>
      <c r="F98" s="4">
        <v>32</v>
      </c>
      <c r="G98" s="4">
        <v>87.693709007669398</v>
      </c>
      <c r="J98" s="4"/>
      <c r="K98" s="4"/>
      <c r="L98" s="4"/>
      <c r="M98" s="4"/>
      <c r="O98" s="4"/>
      <c r="P98" s="4"/>
      <c r="Q98" s="4"/>
      <c r="R98" s="4"/>
      <c r="S98" s="4"/>
      <c r="X98" s="4"/>
      <c r="Y98" s="4"/>
      <c r="Z98" s="4"/>
      <c r="AA98" s="4"/>
    </row>
    <row r="99" spans="1:32" hidden="1" outlineLevel="1" x14ac:dyDescent="0.25">
      <c r="A99" s="8">
        <f t="shared" si="2"/>
        <v>64</v>
      </c>
      <c r="B99" s="4"/>
      <c r="C99" s="4"/>
      <c r="D99" s="4"/>
      <c r="E99" s="4"/>
      <c r="F99" s="4"/>
      <c r="G99" s="4"/>
      <c r="J99" s="4"/>
      <c r="K99" s="4"/>
      <c r="L99" s="4"/>
      <c r="M99" s="4"/>
      <c r="O99" s="4"/>
      <c r="P99" s="4"/>
      <c r="Q99" s="4"/>
      <c r="R99" s="4"/>
      <c r="S99" s="4"/>
      <c r="X99" s="4"/>
      <c r="Y99" s="4"/>
      <c r="Z99" s="4"/>
      <c r="AA99" s="4"/>
    </row>
    <row r="100" spans="1:32" hidden="1" outlineLevel="1" x14ac:dyDescent="0.25">
      <c r="A100" s="14">
        <f t="shared" si="2"/>
        <v>65</v>
      </c>
      <c r="B100" s="4"/>
      <c r="C100" s="4"/>
      <c r="D100" s="4"/>
      <c r="E100" s="4"/>
      <c r="F100" s="4"/>
      <c r="G100" s="4"/>
      <c r="J100" s="4"/>
      <c r="K100" s="4"/>
      <c r="L100" s="4"/>
      <c r="M100" s="4"/>
      <c r="O100" s="4"/>
      <c r="P100" s="4"/>
      <c r="Q100" s="4"/>
      <c r="R100" s="4"/>
      <c r="S100" s="4"/>
      <c r="X100" s="4"/>
      <c r="Y100" s="4"/>
      <c r="Z100" s="4"/>
      <c r="AA100" s="4"/>
    </row>
    <row r="101" spans="1:32" hidden="1" collapsed="1" x14ac:dyDescent="0.25">
      <c r="A101" s="14">
        <f t="shared" si="2"/>
        <v>66</v>
      </c>
      <c r="B101" s="13"/>
      <c r="C101" s="13"/>
      <c r="D101" s="13"/>
      <c r="E101" s="13"/>
      <c r="F101" s="13"/>
      <c r="G101" s="13"/>
      <c r="J101" s="13"/>
      <c r="K101" s="13"/>
      <c r="L101" s="13"/>
      <c r="M101" s="13"/>
      <c r="O101" s="13"/>
      <c r="P101" s="13"/>
      <c r="Q101" s="13"/>
      <c r="R101" s="13"/>
      <c r="S101" s="13"/>
      <c r="X101" s="13"/>
      <c r="Y101" s="13"/>
      <c r="Z101" s="13"/>
      <c r="AA101" s="13"/>
      <c r="AB101" s="13"/>
      <c r="AC101" s="13"/>
      <c r="AD101" s="13"/>
      <c r="AE101" s="13"/>
      <c r="AF101" s="13"/>
    </row>
    <row r="102" spans="1:32" hidden="1" x14ac:dyDescent="0.25">
      <c r="A102" s="15">
        <f t="shared" ref="A102:A165" si="3">A101+1</f>
        <v>67</v>
      </c>
    </row>
    <row r="103" spans="1:32" hidden="1" x14ac:dyDescent="0.25">
      <c r="A103" s="15">
        <f t="shared" si="3"/>
        <v>68</v>
      </c>
    </row>
    <row r="104" spans="1:32" hidden="1" x14ac:dyDescent="0.25">
      <c r="A104" s="15">
        <f t="shared" si="3"/>
        <v>69</v>
      </c>
    </row>
    <row r="105" spans="1:32" hidden="1" x14ac:dyDescent="0.25">
      <c r="A105" s="15">
        <f t="shared" si="3"/>
        <v>70</v>
      </c>
    </row>
    <row r="106" spans="1:32" hidden="1" x14ac:dyDescent="0.25">
      <c r="A106" s="15">
        <f t="shared" si="3"/>
        <v>71</v>
      </c>
    </row>
    <row r="107" spans="1:32" hidden="1" x14ac:dyDescent="0.25">
      <c r="A107" s="15">
        <f t="shared" si="3"/>
        <v>72</v>
      </c>
    </row>
    <row r="108" spans="1:32" hidden="1" x14ac:dyDescent="0.25">
      <c r="A108" s="15">
        <f t="shared" si="3"/>
        <v>73</v>
      </c>
    </row>
    <row r="109" spans="1:32" hidden="1" x14ac:dyDescent="0.25">
      <c r="A109" s="15">
        <f t="shared" si="3"/>
        <v>74</v>
      </c>
    </row>
    <row r="110" spans="1:32" hidden="1" x14ac:dyDescent="0.25">
      <c r="A110" s="15">
        <f t="shared" si="3"/>
        <v>75</v>
      </c>
    </row>
    <row r="111" spans="1:32" hidden="1" x14ac:dyDescent="0.25">
      <c r="A111" s="15">
        <f t="shared" si="3"/>
        <v>76</v>
      </c>
    </row>
    <row r="112" spans="1:32" hidden="1" x14ac:dyDescent="0.25">
      <c r="A112" s="15">
        <f t="shared" si="3"/>
        <v>77</v>
      </c>
    </row>
    <row r="113" spans="1:1" hidden="1" x14ac:dyDescent="0.25">
      <c r="A113" s="15">
        <f t="shared" si="3"/>
        <v>78</v>
      </c>
    </row>
    <row r="114" spans="1:1" hidden="1" x14ac:dyDescent="0.25">
      <c r="A114" s="15">
        <f t="shared" si="3"/>
        <v>79</v>
      </c>
    </row>
    <row r="115" spans="1:1" hidden="1" x14ac:dyDescent="0.25">
      <c r="A115" s="15">
        <f t="shared" si="3"/>
        <v>80</v>
      </c>
    </row>
    <row r="116" spans="1:1" hidden="1" x14ac:dyDescent="0.25">
      <c r="A116" s="15">
        <f t="shared" si="3"/>
        <v>81</v>
      </c>
    </row>
    <row r="117" spans="1:1" hidden="1" x14ac:dyDescent="0.25">
      <c r="A117" s="15">
        <f t="shared" si="3"/>
        <v>82</v>
      </c>
    </row>
    <row r="118" spans="1:1" hidden="1" x14ac:dyDescent="0.25">
      <c r="A118" s="15">
        <f t="shared" si="3"/>
        <v>83</v>
      </c>
    </row>
    <row r="119" spans="1:1" hidden="1" x14ac:dyDescent="0.25">
      <c r="A119" s="15">
        <f t="shared" si="3"/>
        <v>84</v>
      </c>
    </row>
    <row r="120" spans="1:1" hidden="1" x14ac:dyDescent="0.25">
      <c r="A120" s="15">
        <f t="shared" si="3"/>
        <v>85</v>
      </c>
    </row>
    <row r="121" spans="1:1" hidden="1" x14ac:dyDescent="0.25">
      <c r="A121" s="15">
        <f t="shared" si="3"/>
        <v>86</v>
      </c>
    </row>
    <row r="122" spans="1:1" hidden="1" x14ac:dyDescent="0.25">
      <c r="A122" s="15">
        <f t="shared" si="3"/>
        <v>87</v>
      </c>
    </row>
    <row r="123" spans="1:1" hidden="1" x14ac:dyDescent="0.25">
      <c r="A123" s="15">
        <f t="shared" si="3"/>
        <v>88</v>
      </c>
    </row>
    <row r="124" spans="1:1" hidden="1" x14ac:dyDescent="0.25">
      <c r="A124" s="15">
        <f t="shared" si="3"/>
        <v>89</v>
      </c>
    </row>
    <row r="125" spans="1:1" hidden="1" x14ac:dyDescent="0.25">
      <c r="A125" s="15">
        <f t="shared" si="3"/>
        <v>90</v>
      </c>
    </row>
    <row r="126" spans="1:1" hidden="1" x14ac:dyDescent="0.25">
      <c r="A126" s="15">
        <f t="shared" si="3"/>
        <v>91</v>
      </c>
    </row>
    <row r="127" spans="1:1" hidden="1" x14ac:dyDescent="0.25">
      <c r="A127" s="15">
        <f t="shared" si="3"/>
        <v>92</v>
      </c>
    </row>
    <row r="128" spans="1:1" hidden="1" x14ac:dyDescent="0.25">
      <c r="A128" s="15">
        <f t="shared" si="3"/>
        <v>93</v>
      </c>
    </row>
    <row r="129" spans="1:1" hidden="1" x14ac:dyDescent="0.25">
      <c r="A129" s="15">
        <f t="shared" si="3"/>
        <v>94</v>
      </c>
    </row>
    <row r="130" spans="1:1" hidden="1" x14ac:dyDescent="0.25">
      <c r="A130" s="15">
        <f t="shared" si="3"/>
        <v>95</v>
      </c>
    </row>
    <row r="131" spans="1:1" hidden="1" x14ac:dyDescent="0.25">
      <c r="A131" s="15">
        <f t="shared" si="3"/>
        <v>96</v>
      </c>
    </row>
    <row r="132" spans="1:1" hidden="1" x14ac:dyDescent="0.25">
      <c r="A132" s="15">
        <f t="shared" si="3"/>
        <v>97</v>
      </c>
    </row>
    <row r="133" spans="1:1" hidden="1" x14ac:dyDescent="0.25">
      <c r="A133" s="15">
        <f t="shared" si="3"/>
        <v>98</v>
      </c>
    </row>
    <row r="134" spans="1:1" hidden="1" x14ac:dyDescent="0.25">
      <c r="A134" s="15">
        <f t="shared" si="3"/>
        <v>99</v>
      </c>
    </row>
    <row r="135" spans="1:1" hidden="1" x14ac:dyDescent="0.25">
      <c r="A135" s="15">
        <f t="shared" si="3"/>
        <v>100</v>
      </c>
    </row>
    <row r="136" spans="1:1" hidden="1" x14ac:dyDescent="0.25">
      <c r="A136" s="15">
        <f t="shared" si="3"/>
        <v>101</v>
      </c>
    </row>
    <row r="137" spans="1:1" hidden="1" x14ac:dyDescent="0.25">
      <c r="A137" s="15">
        <f t="shared" si="3"/>
        <v>102</v>
      </c>
    </row>
    <row r="138" spans="1:1" hidden="1" x14ac:dyDescent="0.25">
      <c r="A138" s="15">
        <f t="shared" si="3"/>
        <v>103</v>
      </c>
    </row>
    <row r="139" spans="1:1" hidden="1" x14ac:dyDescent="0.25">
      <c r="A139" s="15">
        <f t="shared" si="3"/>
        <v>104</v>
      </c>
    </row>
    <row r="140" spans="1:1" hidden="1" x14ac:dyDescent="0.25">
      <c r="A140" s="15">
        <f t="shared" si="3"/>
        <v>105</v>
      </c>
    </row>
    <row r="141" spans="1:1" hidden="1" x14ac:dyDescent="0.25">
      <c r="A141" s="15">
        <f t="shared" si="3"/>
        <v>106</v>
      </c>
    </row>
    <row r="142" spans="1:1" hidden="1" x14ac:dyDescent="0.25">
      <c r="A142" s="15">
        <f t="shared" si="3"/>
        <v>107</v>
      </c>
    </row>
    <row r="143" spans="1:1" hidden="1" x14ac:dyDescent="0.25">
      <c r="A143" s="15">
        <f t="shared" si="3"/>
        <v>108</v>
      </c>
    </row>
    <row r="144" spans="1:1" hidden="1" x14ac:dyDescent="0.25">
      <c r="A144" s="15">
        <f t="shared" si="3"/>
        <v>109</v>
      </c>
    </row>
    <row r="145" spans="1:1" hidden="1" x14ac:dyDescent="0.25">
      <c r="A145" s="15">
        <f t="shared" si="3"/>
        <v>110</v>
      </c>
    </row>
    <row r="146" spans="1:1" hidden="1" x14ac:dyDescent="0.25">
      <c r="A146" s="15">
        <f t="shared" si="3"/>
        <v>111</v>
      </c>
    </row>
    <row r="147" spans="1:1" hidden="1" x14ac:dyDescent="0.25">
      <c r="A147" s="15">
        <f t="shared" si="3"/>
        <v>112</v>
      </c>
    </row>
    <row r="148" spans="1:1" hidden="1" x14ac:dyDescent="0.25">
      <c r="A148" s="15">
        <f t="shared" si="3"/>
        <v>113</v>
      </c>
    </row>
    <row r="149" spans="1:1" hidden="1" x14ac:dyDescent="0.25">
      <c r="A149" s="15">
        <f t="shared" si="3"/>
        <v>114</v>
      </c>
    </row>
    <row r="150" spans="1:1" hidden="1" x14ac:dyDescent="0.25">
      <c r="A150" s="15">
        <f t="shared" si="3"/>
        <v>115</v>
      </c>
    </row>
    <row r="151" spans="1:1" hidden="1" x14ac:dyDescent="0.25">
      <c r="A151" s="15">
        <f t="shared" si="3"/>
        <v>116</v>
      </c>
    </row>
    <row r="152" spans="1:1" hidden="1" x14ac:dyDescent="0.25">
      <c r="A152" s="15">
        <f t="shared" si="3"/>
        <v>117</v>
      </c>
    </row>
    <row r="153" spans="1:1" hidden="1" x14ac:dyDescent="0.25">
      <c r="A153" s="15">
        <f t="shared" si="3"/>
        <v>118</v>
      </c>
    </row>
    <row r="154" spans="1:1" hidden="1" x14ac:dyDescent="0.25">
      <c r="A154" s="15">
        <f t="shared" si="3"/>
        <v>119</v>
      </c>
    </row>
    <row r="155" spans="1:1" hidden="1" x14ac:dyDescent="0.25">
      <c r="A155" s="15">
        <f t="shared" si="3"/>
        <v>120</v>
      </c>
    </row>
    <row r="156" spans="1:1" hidden="1" x14ac:dyDescent="0.25">
      <c r="A156" s="15">
        <f t="shared" si="3"/>
        <v>121</v>
      </c>
    </row>
    <row r="157" spans="1:1" hidden="1" x14ac:dyDescent="0.25">
      <c r="A157" s="15">
        <f t="shared" si="3"/>
        <v>122</v>
      </c>
    </row>
    <row r="158" spans="1:1" hidden="1" x14ac:dyDescent="0.25">
      <c r="A158" s="15">
        <f t="shared" si="3"/>
        <v>123</v>
      </c>
    </row>
    <row r="159" spans="1:1" hidden="1" x14ac:dyDescent="0.25">
      <c r="A159" s="15">
        <f t="shared" si="3"/>
        <v>124</v>
      </c>
    </row>
    <row r="160" spans="1:1" hidden="1" x14ac:dyDescent="0.25">
      <c r="A160" s="15">
        <f t="shared" si="3"/>
        <v>125</v>
      </c>
    </row>
    <row r="161" spans="1:1" hidden="1" x14ac:dyDescent="0.25">
      <c r="A161" s="15">
        <f t="shared" si="3"/>
        <v>126</v>
      </c>
    </row>
    <row r="162" spans="1:1" hidden="1" x14ac:dyDescent="0.25">
      <c r="A162" s="15">
        <f t="shared" si="3"/>
        <v>127</v>
      </c>
    </row>
    <row r="163" spans="1:1" hidden="1" x14ac:dyDescent="0.25">
      <c r="A163" s="15">
        <f t="shared" si="3"/>
        <v>128</v>
      </c>
    </row>
    <row r="164" spans="1:1" hidden="1" x14ac:dyDescent="0.25">
      <c r="A164" s="15">
        <f t="shared" si="3"/>
        <v>129</v>
      </c>
    </row>
    <row r="165" spans="1:1" hidden="1" x14ac:dyDescent="0.25">
      <c r="A165" s="15">
        <f t="shared" si="3"/>
        <v>130</v>
      </c>
    </row>
    <row r="166" spans="1:1" hidden="1" x14ac:dyDescent="0.25">
      <c r="A166" s="15">
        <f t="shared" ref="A166:A229" si="4">A165+1</f>
        <v>131</v>
      </c>
    </row>
    <row r="167" spans="1:1" hidden="1" x14ac:dyDescent="0.25">
      <c r="A167" s="15">
        <f t="shared" si="4"/>
        <v>132</v>
      </c>
    </row>
    <row r="168" spans="1:1" hidden="1" x14ac:dyDescent="0.25">
      <c r="A168" s="15">
        <f t="shared" si="4"/>
        <v>133</v>
      </c>
    </row>
    <row r="169" spans="1:1" hidden="1" x14ac:dyDescent="0.25">
      <c r="A169" s="15">
        <f t="shared" si="4"/>
        <v>134</v>
      </c>
    </row>
    <row r="170" spans="1:1" hidden="1" x14ac:dyDescent="0.25">
      <c r="A170" s="15">
        <f t="shared" si="4"/>
        <v>135</v>
      </c>
    </row>
    <row r="171" spans="1:1" hidden="1" x14ac:dyDescent="0.25">
      <c r="A171" s="15">
        <f t="shared" si="4"/>
        <v>136</v>
      </c>
    </row>
    <row r="172" spans="1:1" hidden="1" x14ac:dyDescent="0.25">
      <c r="A172" s="15">
        <f t="shared" si="4"/>
        <v>137</v>
      </c>
    </row>
    <row r="173" spans="1:1" hidden="1" x14ac:dyDescent="0.25">
      <c r="A173" s="15">
        <f t="shared" si="4"/>
        <v>138</v>
      </c>
    </row>
    <row r="174" spans="1:1" hidden="1" x14ac:dyDescent="0.25">
      <c r="A174" s="15">
        <f t="shared" si="4"/>
        <v>139</v>
      </c>
    </row>
    <row r="175" spans="1:1" hidden="1" x14ac:dyDescent="0.25">
      <c r="A175" s="15">
        <f t="shared" si="4"/>
        <v>140</v>
      </c>
    </row>
    <row r="176" spans="1:1" hidden="1" x14ac:dyDescent="0.25">
      <c r="A176" s="15">
        <f t="shared" si="4"/>
        <v>141</v>
      </c>
    </row>
    <row r="177" spans="1:1" hidden="1" x14ac:dyDescent="0.25">
      <c r="A177" s="15">
        <f t="shared" si="4"/>
        <v>142</v>
      </c>
    </row>
    <row r="178" spans="1:1" hidden="1" x14ac:dyDescent="0.25">
      <c r="A178" s="15">
        <f t="shared" si="4"/>
        <v>143</v>
      </c>
    </row>
    <row r="179" spans="1:1" hidden="1" x14ac:dyDescent="0.25">
      <c r="A179" s="15">
        <f t="shared" si="4"/>
        <v>144</v>
      </c>
    </row>
    <row r="180" spans="1:1" hidden="1" x14ac:dyDescent="0.25">
      <c r="A180" s="15">
        <f t="shared" si="4"/>
        <v>145</v>
      </c>
    </row>
    <row r="181" spans="1:1" hidden="1" x14ac:dyDescent="0.25">
      <c r="A181" s="15">
        <f t="shared" si="4"/>
        <v>146</v>
      </c>
    </row>
    <row r="182" spans="1:1" hidden="1" x14ac:dyDescent="0.25">
      <c r="A182" s="15">
        <f t="shared" si="4"/>
        <v>147</v>
      </c>
    </row>
    <row r="183" spans="1:1" hidden="1" x14ac:dyDescent="0.25">
      <c r="A183" s="15">
        <f t="shared" si="4"/>
        <v>148</v>
      </c>
    </row>
    <row r="184" spans="1:1" hidden="1" x14ac:dyDescent="0.25">
      <c r="A184" s="15">
        <f t="shared" si="4"/>
        <v>149</v>
      </c>
    </row>
    <row r="185" spans="1:1" hidden="1" x14ac:dyDescent="0.25">
      <c r="A185" s="15">
        <f t="shared" si="4"/>
        <v>150</v>
      </c>
    </row>
    <row r="186" spans="1:1" hidden="1" x14ac:dyDescent="0.25">
      <c r="A186" s="15">
        <f t="shared" si="4"/>
        <v>151</v>
      </c>
    </row>
    <row r="187" spans="1:1" hidden="1" x14ac:dyDescent="0.25">
      <c r="A187" s="15">
        <f t="shared" si="4"/>
        <v>152</v>
      </c>
    </row>
    <row r="188" spans="1:1" hidden="1" x14ac:dyDescent="0.25">
      <c r="A188" s="15">
        <f t="shared" si="4"/>
        <v>153</v>
      </c>
    </row>
    <row r="189" spans="1:1" hidden="1" x14ac:dyDescent="0.25">
      <c r="A189" s="15">
        <f t="shared" si="4"/>
        <v>154</v>
      </c>
    </row>
    <row r="190" spans="1:1" hidden="1" x14ac:dyDescent="0.25">
      <c r="A190" s="15">
        <f t="shared" si="4"/>
        <v>155</v>
      </c>
    </row>
    <row r="191" spans="1:1" hidden="1" x14ac:dyDescent="0.25">
      <c r="A191" s="15">
        <f t="shared" si="4"/>
        <v>156</v>
      </c>
    </row>
    <row r="192" spans="1:1" hidden="1" x14ac:dyDescent="0.25">
      <c r="A192" s="15">
        <f t="shared" si="4"/>
        <v>157</v>
      </c>
    </row>
    <row r="193" spans="1:1" hidden="1" x14ac:dyDescent="0.25">
      <c r="A193" s="15">
        <f t="shared" si="4"/>
        <v>158</v>
      </c>
    </row>
    <row r="194" spans="1:1" hidden="1" x14ac:dyDescent="0.25">
      <c r="A194" s="15">
        <f t="shared" si="4"/>
        <v>159</v>
      </c>
    </row>
    <row r="195" spans="1:1" hidden="1" x14ac:dyDescent="0.25">
      <c r="A195" s="15">
        <f t="shared" si="4"/>
        <v>160</v>
      </c>
    </row>
    <row r="196" spans="1:1" hidden="1" x14ac:dyDescent="0.25">
      <c r="A196" s="15">
        <f t="shared" si="4"/>
        <v>161</v>
      </c>
    </row>
    <row r="197" spans="1:1" hidden="1" x14ac:dyDescent="0.25">
      <c r="A197" s="15">
        <f t="shared" si="4"/>
        <v>162</v>
      </c>
    </row>
    <row r="198" spans="1:1" hidden="1" x14ac:dyDescent="0.25">
      <c r="A198" s="15">
        <f t="shared" si="4"/>
        <v>163</v>
      </c>
    </row>
    <row r="199" spans="1:1" hidden="1" x14ac:dyDescent="0.25">
      <c r="A199" s="15">
        <f t="shared" si="4"/>
        <v>164</v>
      </c>
    </row>
    <row r="200" spans="1:1" hidden="1" x14ac:dyDescent="0.25">
      <c r="A200" s="15">
        <f t="shared" si="4"/>
        <v>165</v>
      </c>
    </row>
    <row r="201" spans="1:1" hidden="1" x14ac:dyDescent="0.25">
      <c r="A201" s="15">
        <f t="shared" si="4"/>
        <v>166</v>
      </c>
    </row>
    <row r="202" spans="1:1" hidden="1" x14ac:dyDescent="0.25">
      <c r="A202" s="15">
        <f t="shared" si="4"/>
        <v>167</v>
      </c>
    </row>
    <row r="203" spans="1:1" hidden="1" x14ac:dyDescent="0.25">
      <c r="A203" s="15">
        <f t="shared" si="4"/>
        <v>168</v>
      </c>
    </row>
    <row r="204" spans="1:1" hidden="1" x14ac:dyDescent="0.25">
      <c r="A204" s="15">
        <f t="shared" si="4"/>
        <v>169</v>
      </c>
    </row>
    <row r="205" spans="1:1" hidden="1" x14ac:dyDescent="0.25">
      <c r="A205" s="15">
        <f t="shared" si="4"/>
        <v>170</v>
      </c>
    </row>
    <row r="206" spans="1:1" hidden="1" x14ac:dyDescent="0.25">
      <c r="A206" s="15">
        <f t="shared" si="4"/>
        <v>171</v>
      </c>
    </row>
    <row r="207" spans="1:1" hidden="1" x14ac:dyDescent="0.25">
      <c r="A207" s="15">
        <f t="shared" si="4"/>
        <v>172</v>
      </c>
    </row>
    <row r="208" spans="1:1" hidden="1" x14ac:dyDescent="0.25">
      <c r="A208" s="15">
        <f t="shared" si="4"/>
        <v>173</v>
      </c>
    </row>
    <row r="209" spans="1:1" hidden="1" x14ac:dyDescent="0.25">
      <c r="A209" s="15">
        <f t="shared" si="4"/>
        <v>174</v>
      </c>
    </row>
    <row r="210" spans="1:1" hidden="1" x14ac:dyDescent="0.25">
      <c r="A210" s="15">
        <f t="shared" si="4"/>
        <v>175</v>
      </c>
    </row>
    <row r="211" spans="1:1" hidden="1" x14ac:dyDescent="0.25">
      <c r="A211" s="15">
        <f t="shared" si="4"/>
        <v>176</v>
      </c>
    </row>
    <row r="212" spans="1:1" hidden="1" x14ac:dyDescent="0.25">
      <c r="A212" s="15">
        <f t="shared" si="4"/>
        <v>177</v>
      </c>
    </row>
    <row r="213" spans="1:1" hidden="1" x14ac:dyDescent="0.25">
      <c r="A213" s="15">
        <f t="shared" si="4"/>
        <v>178</v>
      </c>
    </row>
    <row r="214" spans="1:1" hidden="1" x14ac:dyDescent="0.25">
      <c r="A214" s="15">
        <f t="shared" si="4"/>
        <v>179</v>
      </c>
    </row>
    <row r="215" spans="1:1" hidden="1" x14ac:dyDescent="0.25">
      <c r="A215" s="15">
        <f t="shared" si="4"/>
        <v>180</v>
      </c>
    </row>
    <row r="216" spans="1:1" hidden="1" x14ac:dyDescent="0.25">
      <c r="A216" s="15">
        <f t="shared" si="4"/>
        <v>181</v>
      </c>
    </row>
    <row r="217" spans="1:1" hidden="1" x14ac:dyDescent="0.25">
      <c r="A217" s="15">
        <f t="shared" si="4"/>
        <v>182</v>
      </c>
    </row>
    <row r="218" spans="1:1" hidden="1" x14ac:dyDescent="0.25">
      <c r="A218" s="15">
        <f t="shared" si="4"/>
        <v>183</v>
      </c>
    </row>
    <row r="219" spans="1:1" hidden="1" x14ac:dyDescent="0.25">
      <c r="A219" s="15">
        <f t="shared" si="4"/>
        <v>184</v>
      </c>
    </row>
    <row r="220" spans="1:1" hidden="1" x14ac:dyDescent="0.25">
      <c r="A220" s="15">
        <f t="shared" si="4"/>
        <v>185</v>
      </c>
    </row>
    <row r="221" spans="1:1" hidden="1" x14ac:dyDescent="0.25">
      <c r="A221" s="15">
        <f t="shared" si="4"/>
        <v>186</v>
      </c>
    </row>
    <row r="222" spans="1:1" hidden="1" x14ac:dyDescent="0.25">
      <c r="A222" s="15">
        <f t="shared" si="4"/>
        <v>187</v>
      </c>
    </row>
    <row r="223" spans="1:1" hidden="1" x14ac:dyDescent="0.25">
      <c r="A223" s="15">
        <f t="shared" si="4"/>
        <v>188</v>
      </c>
    </row>
    <row r="224" spans="1:1" hidden="1" x14ac:dyDescent="0.25">
      <c r="A224" s="15">
        <f t="shared" si="4"/>
        <v>189</v>
      </c>
    </row>
    <row r="225" spans="1:1" hidden="1" x14ac:dyDescent="0.25">
      <c r="A225" s="15">
        <f t="shared" si="4"/>
        <v>190</v>
      </c>
    </row>
    <row r="226" spans="1:1" hidden="1" x14ac:dyDescent="0.25">
      <c r="A226" s="15">
        <f t="shared" si="4"/>
        <v>191</v>
      </c>
    </row>
    <row r="227" spans="1:1" hidden="1" x14ac:dyDescent="0.25">
      <c r="A227" s="15">
        <f t="shared" si="4"/>
        <v>192</v>
      </c>
    </row>
    <row r="228" spans="1:1" hidden="1" x14ac:dyDescent="0.25">
      <c r="A228" s="15">
        <f t="shared" si="4"/>
        <v>193</v>
      </c>
    </row>
    <row r="229" spans="1:1" hidden="1" x14ac:dyDescent="0.25">
      <c r="A229" s="15">
        <f t="shared" si="4"/>
        <v>194</v>
      </c>
    </row>
    <row r="230" spans="1:1" hidden="1" x14ac:dyDescent="0.25">
      <c r="A230" s="15">
        <f t="shared" ref="A230:A293" si="5">A229+1</f>
        <v>195</v>
      </c>
    </row>
    <row r="231" spans="1:1" hidden="1" x14ac:dyDescent="0.25">
      <c r="A231" s="15">
        <f t="shared" si="5"/>
        <v>196</v>
      </c>
    </row>
    <row r="232" spans="1:1" hidden="1" x14ac:dyDescent="0.25">
      <c r="A232" s="15">
        <f t="shared" si="5"/>
        <v>197</v>
      </c>
    </row>
    <row r="233" spans="1:1" hidden="1" x14ac:dyDescent="0.25">
      <c r="A233" s="15">
        <f t="shared" si="5"/>
        <v>198</v>
      </c>
    </row>
    <row r="234" spans="1:1" hidden="1" x14ac:dyDescent="0.25">
      <c r="A234" s="15">
        <f t="shared" si="5"/>
        <v>199</v>
      </c>
    </row>
    <row r="235" spans="1:1" hidden="1" x14ac:dyDescent="0.25">
      <c r="A235" s="15">
        <f t="shared" si="5"/>
        <v>200</v>
      </c>
    </row>
    <row r="236" spans="1:1" hidden="1" x14ac:dyDescent="0.25">
      <c r="A236" s="15">
        <f t="shared" si="5"/>
        <v>201</v>
      </c>
    </row>
    <row r="237" spans="1:1" hidden="1" x14ac:dyDescent="0.25">
      <c r="A237" s="15">
        <f t="shared" si="5"/>
        <v>202</v>
      </c>
    </row>
    <row r="238" spans="1:1" hidden="1" x14ac:dyDescent="0.25">
      <c r="A238" s="15">
        <f t="shared" si="5"/>
        <v>203</v>
      </c>
    </row>
    <row r="239" spans="1:1" hidden="1" x14ac:dyDescent="0.25">
      <c r="A239" s="15">
        <f t="shared" si="5"/>
        <v>204</v>
      </c>
    </row>
    <row r="240" spans="1:1" hidden="1" x14ac:dyDescent="0.25">
      <c r="A240" s="15">
        <f t="shared" si="5"/>
        <v>205</v>
      </c>
    </row>
    <row r="241" spans="1:1" hidden="1" x14ac:dyDescent="0.25">
      <c r="A241" s="15">
        <f t="shared" si="5"/>
        <v>206</v>
      </c>
    </row>
    <row r="242" spans="1:1" hidden="1" x14ac:dyDescent="0.25">
      <c r="A242" s="15">
        <f t="shared" si="5"/>
        <v>207</v>
      </c>
    </row>
    <row r="243" spans="1:1" hidden="1" x14ac:dyDescent="0.25">
      <c r="A243" s="15">
        <f t="shared" si="5"/>
        <v>208</v>
      </c>
    </row>
    <row r="244" spans="1:1" hidden="1" x14ac:dyDescent="0.25">
      <c r="A244" s="15">
        <f t="shared" si="5"/>
        <v>209</v>
      </c>
    </row>
    <row r="245" spans="1:1" hidden="1" x14ac:dyDescent="0.25">
      <c r="A245" s="15">
        <f t="shared" si="5"/>
        <v>210</v>
      </c>
    </row>
    <row r="246" spans="1:1" hidden="1" x14ac:dyDescent="0.25">
      <c r="A246" s="15">
        <f t="shared" si="5"/>
        <v>211</v>
      </c>
    </row>
    <row r="247" spans="1:1" hidden="1" x14ac:dyDescent="0.25">
      <c r="A247" s="15">
        <f t="shared" si="5"/>
        <v>212</v>
      </c>
    </row>
    <row r="248" spans="1:1" hidden="1" x14ac:dyDescent="0.25">
      <c r="A248" s="15">
        <f t="shared" si="5"/>
        <v>213</v>
      </c>
    </row>
    <row r="249" spans="1:1" hidden="1" x14ac:dyDescent="0.25">
      <c r="A249" s="15">
        <f t="shared" si="5"/>
        <v>214</v>
      </c>
    </row>
    <row r="250" spans="1:1" hidden="1" x14ac:dyDescent="0.25">
      <c r="A250" s="15">
        <f t="shared" si="5"/>
        <v>215</v>
      </c>
    </row>
    <row r="251" spans="1:1" hidden="1" x14ac:dyDescent="0.25">
      <c r="A251" s="15">
        <f t="shared" si="5"/>
        <v>216</v>
      </c>
    </row>
    <row r="252" spans="1:1" hidden="1" x14ac:dyDescent="0.25">
      <c r="A252" s="15">
        <f t="shared" si="5"/>
        <v>217</v>
      </c>
    </row>
    <row r="253" spans="1:1" hidden="1" x14ac:dyDescent="0.25">
      <c r="A253" s="15">
        <f t="shared" si="5"/>
        <v>218</v>
      </c>
    </row>
    <row r="254" spans="1:1" hidden="1" x14ac:dyDescent="0.25">
      <c r="A254" s="15">
        <f t="shared" si="5"/>
        <v>219</v>
      </c>
    </row>
    <row r="255" spans="1:1" hidden="1" x14ac:dyDescent="0.25">
      <c r="A255" s="15">
        <f t="shared" si="5"/>
        <v>220</v>
      </c>
    </row>
    <row r="256" spans="1:1" hidden="1" x14ac:dyDescent="0.25">
      <c r="A256" s="15">
        <f t="shared" si="5"/>
        <v>221</v>
      </c>
    </row>
    <row r="257" spans="1:1" hidden="1" x14ac:dyDescent="0.25">
      <c r="A257" s="15">
        <f t="shared" si="5"/>
        <v>222</v>
      </c>
    </row>
    <row r="258" spans="1:1" hidden="1" x14ac:dyDescent="0.25">
      <c r="A258" s="15">
        <f t="shared" si="5"/>
        <v>223</v>
      </c>
    </row>
    <row r="259" spans="1:1" hidden="1" x14ac:dyDescent="0.25">
      <c r="A259" s="15">
        <f t="shared" si="5"/>
        <v>224</v>
      </c>
    </row>
    <row r="260" spans="1:1" hidden="1" x14ac:dyDescent="0.25">
      <c r="A260" s="15">
        <f t="shared" si="5"/>
        <v>225</v>
      </c>
    </row>
    <row r="261" spans="1:1" hidden="1" x14ac:dyDescent="0.25">
      <c r="A261" s="15">
        <f t="shared" si="5"/>
        <v>226</v>
      </c>
    </row>
    <row r="262" spans="1:1" hidden="1" x14ac:dyDescent="0.25">
      <c r="A262" s="15">
        <f t="shared" si="5"/>
        <v>227</v>
      </c>
    </row>
    <row r="263" spans="1:1" hidden="1" x14ac:dyDescent="0.25">
      <c r="A263" s="15">
        <f t="shared" si="5"/>
        <v>228</v>
      </c>
    </row>
    <row r="264" spans="1:1" hidden="1" x14ac:dyDescent="0.25">
      <c r="A264" s="15">
        <f t="shared" si="5"/>
        <v>229</v>
      </c>
    </row>
    <row r="265" spans="1:1" hidden="1" x14ac:dyDescent="0.25">
      <c r="A265" s="15">
        <f t="shared" si="5"/>
        <v>230</v>
      </c>
    </row>
    <row r="266" spans="1:1" hidden="1" x14ac:dyDescent="0.25">
      <c r="A266" s="15">
        <f t="shared" si="5"/>
        <v>231</v>
      </c>
    </row>
    <row r="267" spans="1:1" hidden="1" x14ac:dyDescent="0.25">
      <c r="A267" s="15">
        <f t="shared" si="5"/>
        <v>232</v>
      </c>
    </row>
    <row r="268" spans="1:1" hidden="1" x14ac:dyDescent="0.25">
      <c r="A268" s="15">
        <f t="shared" si="5"/>
        <v>233</v>
      </c>
    </row>
    <row r="269" spans="1:1" hidden="1" x14ac:dyDescent="0.25">
      <c r="A269" s="15">
        <f t="shared" si="5"/>
        <v>234</v>
      </c>
    </row>
    <row r="270" spans="1:1" hidden="1" x14ac:dyDescent="0.25">
      <c r="A270" s="15">
        <f t="shared" si="5"/>
        <v>235</v>
      </c>
    </row>
    <row r="271" spans="1:1" hidden="1" x14ac:dyDescent="0.25">
      <c r="A271" s="15">
        <f t="shared" si="5"/>
        <v>236</v>
      </c>
    </row>
    <row r="272" spans="1:1" hidden="1" x14ac:dyDescent="0.25">
      <c r="A272" s="15">
        <f t="shared" si="5"/>
        <v>237</v>
      </c>
    </row>
    <row r="273" spans="1:1" hidden="1" x14ac:dyDescent="0.25">
      <c r="A273" s="15">
        <f t="shared" si="5"/>
        <v>238</v>
      </c>
    </row>
    <row r="274" spans="1:1" hidden="1" x14ac:dyDescent="0.25">
      <c r="A274" s="15">
        <f t="shared" si="5"/>
        <v>239</v>
      </c>
    </row>
    <row r="275" spans="1:1" hidden="1" x14ac:dyDescent="0.25">
      <c r="A275" s="15">
        <f t="shared" si="5"/>
        <v>240</v>
      </c>
    </row>
    <row r="276" spans="1:1" hidden="1" x14ac:dyDescent="0.25">
      <c r="A276" s="15">
        <f t="shared" si="5"/>
        <v>241</v>
      </c>
    </row>
    <row r="277" spans="1:1" hidden="1" x14ac:dyDescent="0.25">
      <c r="A277" s="15">
        <f t="shared" si="5"/>
        <v>242</v>
      </c>
    </row>
    <row r="278" spans="1:1" hidden="1" x14ac:dyDescent="0.25">
      <c r="A278" s="15">
        <f t="shared" si="5"/>
        <v>243</v>
      </c>
    </row>
    <row r="279" spans="1:1" hidden="1" x14ac:dyDescent="0.25">
      <c r="A279" s="15">
        <f t="shared" si="5"/>
        <v>244</v>
      </c>
    </row>
    <row r="280" spans="1:1" hidden="1" x14ac:dyDescent="0.25">
      <c r="A280" s="15">
        <f t="shared" si="5"/>
        <v>245</v>
      </c>
    </row>
    <row r="281" spans="1:1" hidden="1" x14ac:dyDescent="0.25">
      <c r="A281" s="15">
        <f t="shared" si="5"/>
        <v>246</v>
      </c>
    </row>
    <row r="282" spans="1:1" hidden="1" x14ac:dyDescent="0.25">
      <c r="A282" s="15">
        <f t="shared" si="5"/>
        <v>247</v>
      </c>
    </row>
    <row r="283" spans="1:1" hidden="1" x14ac:dyDescent="0.25">
      <c r="A283" s="15">
        <f t="shared" si="5"/>
        <v>248</v>
      </c>
    </row>
    <row r="284" spans="1:1" hidden="1" x14ac:dyDescent="0.25">
      <c r="A284" s="15">
        <f t="shared" si="5"/>
        <v>249</v>
      </c>
    </row>
    <row r="285" spans="1:1" hidden="1" x14ac:dyDescent="0.25">
      <c r="A285" s="15">
        <f t="shared" si="5"/>
        <v>250</v>
      </c>
    </row>
    <row r="286" spans="1:1" hidden="1" x14ac:dyDescent="0.25">
      <c r="A286" s="15">
        <f t="shared" si="5"/>
        <v>251</v>
      </c>
    </row>
    <row r="287" spans="1:1" hidden="1" x14ac:dyDescent="0.25">
      <c r="A287" s="15">
        <f t="shared" si="5"/>
        <v>252</v>
      </c>
    </row>
    <row r="288" spans="1:1" hidden="1" x14ac:dyDescent="0.25">
      <c r="A288" s="15">
        <f t="shared" si="5"/>
        <v>253</v>
      </c>
    </row>
    <row r="289" spans="1:1" hidden="1" x14ac:dyDescent="0.25">
      <c r="A289" s="15">
        <f t="shared" si="5"/>
        <v>254</v>
      </c>
    </row>
    <row r="290" spans="1:1" hidden="1" x14ac:dyDescent="0.25">
      <c r="A290" s="15">
        <f t="shared" si="5"/>
        <v>255</v>
      </c>
    </row>
    <row r="291" spans="1:1" hidden="1" x14ac:dyDescent="0.25">
      <c r="A291" s="15">
        <f t="shared" si="5"/>
        <v>256</v>
      </c>
    </row>
    <row r="292" spans="1:1" hidden="1" x14ac:dyDescent="0.25">
      <c r="A292" s="15">
        <f t="shared" si="5"/>
        <v>257</v>
      </c>
    </row>
    <row r="293" spans="1:1" hidden="1" x14ac:dyDescent="0.25">
      <c r="A293" s="15">
        <f t="shared" si="5"/>
        <v>258</v>
      </c>
    </row>
    <row r="294" spans="1:1" hidden="1" x14ac:dyDescent="0.25">
      <c r="A294" s="15">
        <f t="shared" ref="A294:A346" si="6">A293+1</f>
        <v>259</v>
      </c>
    </row>
    <row r="295" spans="1:1" hidden="1" x14ac:dyDescent="0.25">
      <c r="A295" s="15">
        <f t="shared" si="6"/>
        <v>260</v>
      </c>
    </row>
    <row r="296" spans="1:1" hidden="1" x14ac:dyDescent="0.25">
      <c r="A296" s="15">
        <f t="shared" si="6"/>
        <v>261</v>
      </c>
    </row>
    <row r="297" spans="1:1" hidden="1" x14ac:dyDescent="0.25">
      <c r="A297" s="15">
        <f t="shared" si="6"/>
        <v>262</v>
      </c>
    </row>
    <row r="298" spans="1:1" hidden="1" x14ac:dyDescent="0.25">
      <c r="A298" s="15">
        <f t="shared" si="6"/>
        <v>263</v>
      </c>
    </row>
    <row r="299" spans="1:1" hidden="1" x14ac:dyDescent="0.25">
      <c r="A299" s="15">
        <f t="shared" si="6"/>
        <v>264</v>
      </c>
    </row>
    <row r="300" spans="1:1" hidden="1" x14ac:dyDescent="0.25">
      <c r="A300" s="15">
        <f t="shared" si="6"/>
        <v>265</v>
      </c>
    </row>
    <row r="301" spans="1:1" hidden="1" x14ac:dyDescent="0.25">
      <c r="A301" s="15">
        <f t="shared" si="6"/>
        <v>266</v>
      </c>
    </row>
    <row r="302" spans="1:1" hidden="1" x14ac:dyDescent="0.25">
      <c r="A302" s="15">
        <f t="shared" si="6"/>
        <v>267</v>
      </c>
    </row>
    <row r="303" spans="1:1" hidden="1" x14ac:dyDescent="0.25">
      <c r="A303" s="15">
        <f t="shared" si="6"/>
        <v>268</v>
      </c>
    </row>
    <row r="304" spans="1:1" hidden="1" x14ac:dyDescent="0.25">
      <c r="A304" s="15">
        <f t="shared" si="6"/>
        <v>269</v>
      </c>
    </row>
    <row r="305" spans="1:1" hidden="1" x14ac:dyDescent="0.25">
      <c r="A305" s="15">
        <f t="shared" si="6"/>
        <v>270</v>
      </c>
    </row>
    <row r="306" spans="1:1" hidden="1" x14ac:dyDescent="0.25">
      <c r="A306" s="15">
        <f t="shared" si="6"/>
        <v>271</v>
      </c>
    </row>
    <row r="307" spans="1:1" hidden="1" x14ac:dyDescent="0.25">
      <c r="A307" s="15">
        <f t="shared" si="6"/>
        <v>272</v>
      </c>
    </row>
    <row r="308" spans="1:1" hidden="1" x14ac:dyDescent="0.25">
      <c r="A308" s="15">
        <f t="shared" si="6"/>
        <v>273</v>
      </c>
    </row>
    <row r="309" spans="1:1" hidden="1" x14ac:dyDescent="0.25">
      <c r="A309" s="15">
        <f t="shared" si="6"/>
        <v>274</v>
      </c>
    </row>
    <row r="310" spans="1:1" hidden="1" x14ac:dyDescent="0.25">
      <c r="A310" s="15">
        <f t="shared" si="6"/>
        <v>275</v>
      </c>
    </row>
    <row r="311" spans="1:1" hidden="1" x14ac:dyDescent="0.25">
      <c r="A311" s="15">
        <f t="shared" si="6"/>
        <v>276</v>
      </c>
    </row>
    <row r="312" spans="1:1" hidden="1" x14ac:dyDescent="0.25">
      <c r="A312" s="15">
        <f t="shared" si="6"/>
        <v>277</v>
      </c>
    </row>
    <row r="313" spans="1:1" hidden="1" x14ac:dyDescent="0.25">
      <c r="A313" s="15">
        <f t="shared" si="6"/>
        <v>278</v>
      </c>
    </row>
    <row r="314" spans="1:1" hidden="1" x14ac:dyDescent="0.25">
      <c r="A314" s="15">
        <f t="shared" si="6"/>
        <v>279</v>
      </c>
    </row>
    <row r="315" spans="1:1" hidden="1" x14ac:dyDescent="0.25">
      <c r="A315" s="15">
        <f t="shared" si="6"/>
        <v>280</v>
      </c>
    </row>
    <row r="316" spans="1:1" hidden="1" x14ac:dyDescent="0.25">
      <c r="A316" s="15">
        <f t="shared" si="6"/>
        <v>281</v>
      </c>
    </row>
    <row r="317" spans="1:1" hidden="1" x14ac:dyDescent="0.25">
      <c r="A317" s="15">
        <f t="shared" si="6"/>
        <v>282</v>
      </c>
    </row>
    <row r="318" spans="1:1" hidden="1" x14ac:dyDescent="0.25">
      <c r="A318" s="15">
        <f t="shared" si="6"/>
        <v>283</v>
      </c>
    </row>
    <row r="319" spans="1:1" hidden="1" x14ac:dyDescent="0.25">
      <c r="A319" s="15">
        <f t="shared" si="6"/>
        <v>284</v>
      </c>
    </row>
    <row r="320" spans="1:1" hidden="1" x14ac:dyDescent="0.25">
      <c r="A320" s="15">
        <f t="shared" si="6"/>
        <v>285</v>
      </c>
    </row>
    <row r="321" spans="1:1" hidden="1" x14ac:dyDescent="0.25">
      <c r="A321" s="15">
        <f t="shared" si="6"/>
        <v>286</v>
      </c>
    </row>
    <row r="322" spans="1:1" hidden="1" x14ac:dyDescent="0.25">
      <c r="A322" s="15">
        <f t="shared" si="6"/>
        <v>287</v>
      </c>
    </row>
    <row r="323" spans="1:1" hidden="1" x14ac:dyDescent="0.25">
      <c r="A323" s="15">
        <f t="shared" si="6"/>
        <v>288</v>
      </c>
    </row>
    <row r="324" spans="1:1" hidden="1" x14ac:dyDescent="0.25">
      <c r="A324" s="15">
        <f t="shared" si="6"/>
        <v>289</v>
      </c>
    </row>
    <row r="325" spans="1:1" hidden="1" x14ac:dyDescent="0.25">
      <c r="A325" s="15">
        <f t="shared" si="6"/>
        <v>290</v>
      </c>
    </row>
    <row r="326" spans="1:1" hidden="1" x14ac:dyDescent="0.25">
      <c r="A326" s="15">
        <f t="shared" si="6"/>
        <v>291</v>
      </c>
    </row>
    <row r="327" spans="1:1" hidden="1" x14ac:dyDescent="0.25">
      <c r="A327" s="15">
        <f t="shared" si="6"/>
        <v>292</v>
      </c>
    </row>
    <row r="328" spans="1:1" hidden="1" x14ac:dyDescent="0.25">
      <c r="A328" s="15">
        <f t="shared" si="6"/>
        <v>293</v>
      </c>
    </row>
    <row r="329" spans="1:1" hidden="1" x14ac:dyDescent="0.25">
      <c r="A329" s="15">
        <f t="shared" si="6"/>
        <v>294</v>
      </c>
    </row>
    <row r="330" spans="1:1" hidden="1" x14ac:dyDescent="0.25">
      <c r="A330" s="15">
        <f t="shared" si="6"/>
        <v>295</v>
      </c>
    </row>
    <row r="331" spans="1:1" hidden="1" x14ac:dyDescent="0.25">
      <c r="A331" s="15">
        <f t="shared" si="6"/>
        <v>296</v>
      </c>
    </row>
    <row r="332" spans="1:1" hidden="1" x14ac:dyDescent="0.25">
      <c r="A332" s="15">
        <f t="shared" si="6"/>
        <v>297</v>
      </c>
    </row>
    <row r="333" spans="1:1" hidden="1" x14ac:dyDescent="0.25">
      <c r="A333" s="15">
        <f t="shared" si="6"/>
        <v>298</v>
      </c>
    </row>
    <row r="334" spans="1:1" hidden="1" x14ac:dyDescent="0.25">
      <c r="A334" s="15">
        <f t="shared" si="6"/>
        <v>299</v>
      </c>
    </row>
    <row r="335" spans="1:1" hidden="1" x14ac:dyDescent="0.25">
      <c r="A335" s="15">
        <f t="shared" si="6"/>
        <v>300</v>
      </c>
    </row>
    <row r="336" spans="1:1" hidden="1" x14ac:dyDescent="0.25">
      <c r="A336" s="15">
        <f t="shared" si="6"/>
        <v>301</v>
      </c>
    </row>
    <row r="337" spans="1:1" hidden="1" x14ac:dyDescent="0.25">
      <c r="A337" s="15">
        <f t="shared" si="6"/>
        <v>302</v>
      </c>
    </row>
    <row r="338" spans="1:1" hidden="1" x14ac:dyDescent="0.25">
      <c r="A338" s="15">
        <f t="shared" si="6"/>
        <v>303</v>
      </c>
    </row>
    <row r="339" spans="1:1" hidden="1" x14ac:dyDescent="0.25">
      <c r="A339" s="15">
        <f t="shared" si="6"/>
        <v>304</v>
      </c>
    </row>
    <row r="340" spans="1:1" hidden="1" x14ac:dyDescent="0.25">
      <c r="A340" s="15">
        <f t="shared" si="6"/>
        <v>305</v>
      </c>
    </row>
    <row r="341" spans="1:1" hidden="1" x14ac:dyDescent="0.25">
      <c r="A341" s="15">
        <f t="shared" si="6"/>
        <v>306</v>
      </c>
    </row>
    <row r="342" spans="1:1" hidden="1" x14ac:dyDescent="0.25">
      <c r="A342" s="15">
        <f t="shared" si="6"/>
        <v>307</v>
      </c>
    </row>
    <row r="343" spans="1:1" hidden="1" x14ac:dyDescent="0.25">
      <c r="A343" s="15">
        <f t="shared" si="6"/>
        <v>308</v>
      </c>
    </row>
    <row r="344" spans="1:1" hidden="1" x14ac:dyDescent="0.25">
      <c r="A344" s="15">
        <f t="shared" si="6"/>
        <v>309</v>
      </c>
    </row>
    <row r="345" spans="1:1" hidden="1" x14ac:dyDescent="0.25">
      <c r="A345" s="15">
        <f t="shared" si="6"/>
        <v>310</v>
      </c>
    </row>
    <row r="346" spans="1:1" hidden="1" x14ac:dyDescent="0.25">
      <c r="A346" s="15">
        <f t="shared" si="6"/>
        <v>311</v>
      </c>
    </row>
  </sheetData>
  <mergeCells count="2">
    <mergeCell ref="AD11:AJ11"/>
    <mergeCell ref="B11:M11"/>
  </mergeCells>
  <phoneticPr fontId="14" type="noConversion"/>
  <dataValidations count="6">
    <dataValidation type="list" allowBlank="1" showInputMessage="1" showErrorMessage="1" sqref="B13:B22" xr:uid="{00000000-0002-0000-0000-000000000000}">
      <formula1>"sand-HS, sand-HSS, sand-SSC, clay-HS, clay-HSS, clay-SSC, silt-HS, silt-HSS, silt-SSC"</formula1>
    </dataValidation>
    <dataValidation type="list" allowBlank="1" showInputMessage="1" showErrorMessage="1" sqref="K8" xr:uid="{00000000-0002-0000-0000-000002000000}">
      <formula1>"RD-PI, Hardin-D, Ishibasi, Darendeli"</formula1>
    </dataValidation>
    <dataValidation type="list" allowBlank="1" showInputMessage="1" showErrorMessage="1" sqref="K3" xr:uid="{00000000-0002-0000-0000-000003000000}">
      <formula1>"direct, manual"</formula1>
    </dataValidation>
    <dataValidation type="list" allowBlank="1" showInputMessage="1" showErrorMessage="1" sqref="K5" xr:uid="{00000000-0002-0000-0000-000004000000}">
      <formula1>"Alpan, SPT"</formula1>
    </dataValidation>
    <dataValidation type="list" allowBlank="1" showInputMessage="1" showErrorMessage="1" sqref="K4" xr:uid="{00000000-0002-0000-0000-000005000000}">
      <formula1>"bottom, mid_layer, manual"</formula1>
    </dataValidation>
    <dataValidation type="list" allowBlank="1" showInputMessage="1" showErrorMessage="1" sqref="AD13:AD22" xr:uid="{42A9E4F9-E8B8-487F-9F5D-8488FAFF2671}">
      <formula1>"automatic, by_grain_size, manual"</formula1>
    </dataValidation>
  </dataValidations>
  <hyperlinks>
    <hyperlink ref="V6" r:id="rId1" xr:uid="{00000000-0004-0000-0000-000000000000}"/>
  </hyperlinks>
  <pageMargins left="0.7" right="0.7" top="0.75" bottom="0.75" header="0.3" footer="0.3"/>
  <pageSetup orientation="portrait"/>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tint="0.79998168889431442"/>
  </sheetPr>
  <dimension ref="A1:A20"/>
  <sheetViews>
    <sheetView workbookViewId="0">
      <selection activeCell="A35" sqref="A35"/>
    </sheetView>
  </sheetViews>
  <sheetFormatPr defaultRowHeight="15.75" x14ac:dyDescent="0.25"/>
  <cols>
    <col min="1" max="1" width="55.375" customWidth="1"/>
  </cols>
  <sheetData>
    <row r="1" spans="1:1" x14ac:dyDescent="0.25">
      <c r="A1" t="s">
        <v>74</v>
      </c>
    </row>
    <row r="2" spans="1:1" x14ac:dyDescent="0.25">
      <c r="A2" t="s">
        <v>75</v>
      </c>
    </row>
    <row r="3" spans="1:1" x14ac:dyDescent="0.25">
      <c r="A3" t="s">
        <v>76</v>
      </c>
    </row>
    <row r="4" spans="1:1" x14ac:dyDescent="0.25">
      <c r="A4" t="s">
        <v>77</v>
      </c>
    </row>
    <row r="5" spans="1:1" x14ac:dyDescent="0.25">
      <c r="A5" t="s">
        <v>78</v>
      </c>
    </row>
    <row r="6" spans="1:1" x14ac:dyDescent="0.25">
      <c r="A6" t="s">
        <v>79</v>
      </c>
    </row>
    <row r="7" spans="1:1" x14ac:dyDescent="0.25">
      <c r="A7" t="s">
        <v>80</v>
      </c>
    </row>
    <row r="8" spans="1:1" x14ac:dyDescent="0.25">
      <c r="A8" t="s">
        <v>81</v>
      </c>
    </row>
    <row r="9" spans="1:1" x14ac:dyDescent="0.25">
      <c r="A9" t="s">
        <v>82</v>
      </c>
    </row>
    <row r="10" spans="1:1" x14ac:dyDescent="0.25">
      <c r="A10" t="s">
        <v>83</v>
      </c>
    </row>
    <row r="11" spans="1:1" x14ac:dyDescent="0.25">
      <c r="A11" t="s">
        <v>84</v>
      </c>
    </row>
    <row r="12" spans="1:1" x14ac:dyDescent="0.25">
      <c r="A12" t="s">
        <v>85</v>
      </c>
    </row>
    <row r="13" spans="1:1" x14ac:dyDescent="0.25">
      <c r="A13" t="s">
        <v>86</v>
      </c>
    </row>
    <row r="14" spans="1:1" x14ac:dyDescent="0.25">
      <c r="A14" t="s">
        <v>87</v>
      </c>
    </row>
    <row r="15" spans="1:1" x14ac:dyDescent="0.25">
      <c r="A15" t="s">
        <v>88</v>
      </c>
    </row>
    <row r="16" spans="1:1" x14ac:dyDescent="0.25">
      <c r="A16" t="s">
        <v>89</v>
      </c>
    </row>
    <row r="17" spans="1:1" x14ac:dyDescent="0.25">
      <c r="A17" t="s">
        <v>90</v>
      </c>
    </row>
    <row r="18" spans="1:1" x14ac:dyDescent="0.25">
      <c r="A18" t="s">
        <v>91</v>
      </c>
    </row>
    <row r="19" spans="1:1" x14ac:dyDescent="0.25">
      <c r="A19" t="s">
        <v>92</v>
      </c>
    </row>
    <row r="20" spans="1:1" x14ac:dyDescent="0.25">
      <c r="A20" t="s">
        <v>93</v>
      </c>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J334"/>
  <sheetViews>
    <sheetView zoomScale="85" zoomScaleNormal="85" workbookViewId="0">
      <selection activeCell="E11" sqref="E11"/>
    </sheetView>
  </sheetViews>
  <sheetFormatPr defaultRowHeight="15.75" outlineLevelRow="1" x14ac:dyDescent="0.25"/>
  <cols>
    <col min="2" max="2" width="31.75" bestFit="1" customWidth="1"/>
    <col min="3" max="3" width="38.5" bestFit="1" customWidth="1"/>
    <col min="4" max="4" width="8.75" customWidth="1"/>
    <col min="5" max="5" width="9" customWidth="1"/>
    <col min="6" max="7" width="10" bestFit="1" customWidth="1"/>
    <col min="8" max="8" width="14.5" bestFit="1" customWidth="1"/>
    <col min="9" max="9" width="15.25" bestFit="1" customWidth="1"/>
    <col min="10" max="10" width="12.375" customWidth="1"/>
    <col min="11" max="11" width="11.5" customWidth="1"/>
    <col min="12" max="12" width="13.75" bestFit="1" customWidth="1"/>
    <col min="13" max="13" width="16.25" bestFit="1" customWidth="1"/>
    <col min="14" max="14" width="19" bestFit="1" customWidth="1"/>
    <col min="15" max="15" width="15.875" bestFit="1" customWidth="1"/>
    <col min="16" max="16" width="16" bestFit="1" customWidth="1"/>
    <col min="17" max="17" width="12.375" bestFit="1" customWidth="1"/>
    <col min="18" max="19" width="12.75" bestFit="1" customWidth="1"/>
    <col min="20" max="20" width="30.5" bestFit="1" customWidth="1"/>
    <col min="21" max="21" width="23.5" bestFit="1" customWidth="1"/>
    <col min="22" max="22" width="11.875" bestFit="1" customWidth="1"/>
    <col min="23" max="23" width="9.75" bestFit="1" customWidth="1"/>
    <col min="30" max="30" width="12.375" bestFit="1" customWidth="1"/>
    <col min="31" max="32" width="8.75" bestFit="1" customWidth="1"/>
  </cols>
  <sheetData>
    <row r="2" spans="2:36" x14ac:dyDescent="0.25">
      <c r="J2" t="s">
        <v>94</v>
      </c>
      <c r="K2" s="83">
        <v>0.05</v>
      </c>
      <c r="M2" s="4"/>
      <c r="N2" t="s">
        <v>95</v>
      </c>
    </row>
    <row r="3" spans="2:36" x14ac:dyDescent="0.25">
      <c r="J3" t="s">
        <v>96</v>
      </c>
      <c r="K3" s="10" t="s">
        <v>97</v>
      </c>
      <c r="M3" s="36"/>
      <c r="N3" t="s">
        <v>98</v>
      </c>
    </row>
    <row r="4" spans="2:36" ht="16.5" customHeight="1" thickBot="1" x14ac:dyDescent="0.3">
      <c r="B4" t="s">
        <v>599</v>
      </c>
      <c r="D4" t="s">
        <v>600</v>
      </c>
    </row>
    <row r="5" spans="2:36" ht="16.5" customHeight="1" thickBot="1" x14ac:dyDescent="0.3">
      <c r="B5" s="84"/>
      <c r="C5" s="21"/>
      <c r="D5" s="21"/>
      <c r="E5" s="21"/>
      <c r="F5" s="21"/>
      <c r="G5" s="21"/>
      <c r="H5" s="21"/>
      <c r="I5" s="21"/>
      <c r="J5" s="21"/>
      <c r="K5" s="21"/>
      <c r="L5" s="21"/>
      <c r="M5" s="34"/>
      <c r="N5" s="20" t="s">
        <v>23</v>
      </c>
      <c r="O5" s="21"/>
      <c r="P5" s="21"/>
      <c r="Q5" s="21"/>
      <c r="R5" s="21"/>
      <c r="S5" s="21"/>
      <c r="T5" s="28" t="s">
        <v>24</v>
      </c>
      <c r="U5" s="29"/>
      <c r="V5" s="29"/>
      <c r="W5" s="29"/>
      <c r="X5" s="20" t="s">
        <v>25</v>
      </c>
      <c r="Y5" s="21"/>
      <c r="Z5" s="34"/>
      <c r="AA5" s="20" t="s">
        <v>26</v>
      </c>
      <c r="AB5" s="21"/>
      <c r="AC5" s="34"/>
      <c r="AD5" s="89" t="s">
        <v>27</v>
      </c>
      <c r="AE5" s="90"/>
      <c r="AF5" s="90"/>
      <c r="AG5" s="90"/>
      <c r="AH5" s="90"/>
      <c r="AI5" s="90"/>
      <c r="AJ5" s="91"/>
    </row>
    <row r="6" spans="2:36" ht="16.5" customHeight="1" x14ac:dyDescent="0.3">
      <c r="B6" s="47" t="s">
        <v>28</v>
      </c>
      <c r="C6" s="47" t="s">
        <v>29</v>
      </c>
      <c r="D6" s="47" t="s">
        <v>30</v>
      </c>
      <c r="E6" s="47" t="s">
        <v>31</v>
      </c>
      <c r="F6" s="47" t="s">
        <v>32</v>
      </c>
      <c r="G6" s="47" t="s">
        <v>33</v>
      </c>
      <c r="H6" s="47" t="s">
        <v>34</v>
      </c>
      <c r="I6" s="47" t="s">
        <v>35</v>
      </c>
      <c r="J6" s="47" t="s">
        <v>36</v>
      </c>
      <c r="K6" s="47" t="s">
        <v>37</v>
      </c>
      <c r="L6" s="47" t="s">
        <v>38</v>
      </c>
      <c r="M6" s="47" t="s">
        <v>39</v>
      </c>
      <c r="N6" s="48" t="s">
        <v>40</v>
      </c>
      <c r="O6" s="48" t="s">
        <v>9</v>
      </c>
      <c r="P6" s="48" t="s">
        <v>41</v>
      </c>
      <c r="Q6" s="48" t="s">
        <v>42</v>
      </c>
      <c r="R6" s="48" t="s">
        <v>43</v>
      </c>
      <c r="S6" s="49" t="s">
        <v>44</v>
      </c>
      <c r="T6" s="25" t="s">
        <v>45</v>
      </c>
      <c r="U6" s="25" t="s">
        <v>46</v>
      </c>
      <c r="V6" s="50" t="s">
        <v>47</v>
      </c>
      <c r="W6" s="50" t="s">
        <v>48</v>
      </c>
      <c r="X6" s="51" t="s">
        <v>49</v>
      </c>
      <c r="Y6" s="51" t="s">
        <v>50</v>
      </c>
      <c r="Z6" s="51" t="s">
        <v>51</v>
      </c>
      <c r="AA6" s="51" t="s">
        <v>52</v>
      </c>
      <c r="AB6" s="51" t="s">
        <v>53</v>
      </c>
      <c r="AC6" s="51" t="s">
        <v>54</v>
      </c>
      <c r="AD6" s="49" t="s">
        <v>55</v>
      </c>
      <c r="AE6" s="48" t="s">
        <v>56</v>
      </c>
      <c r="AF6" s="48" t="s">
        <v>57</v>
      </c>
      <c r="AG6" s="48" t="s">
        <v>58</v>
      </c>
      <c r="AH6" s="48" t="s">
        <v>59</v>
      </c>
      <c r="AI6" s="47" t="s">
        <v>60</v>
      </c>
      <c r="AJ6" s="47" t="s">
        <v>61</v>
      </c>
    </row>
    <row r="7" spans="2:36" s="26" customFormat="1" x14ac:dyDescent="0.25">
      <c r="B7" s="11" t="s">
        <v>99</v>
      </c>
      <c r="C7" s="35" t="s">
        <v>100</v>
      </c>
      <c r="D7" s="35">
        <v>17</v>
      </c>
      <c r="E7" s="35">
        <v>19</v>
      </c>
      <c r="F7" s="35" t="s">
        <v>101</v>
      </c>
      <c r="G7" s="35" t="s">
        <v>101</v>
      </c>
      <c r="H7" s="35" t="s">
        <v>101</v>
      </c>
      <c r="I7" s="35" t="s">
        <v>101</v>
      </c>
      <c r="J7" s="35">
        <v>0.1</v>
      </c>
      <c r="K7" s="35">
        <v>35</v>
      </c>
      <c r="L7" s="80">
        <v>0</v>
      </c>
      <c r="M7" s="80">
        <v>0.67</v>
      </c>
      <c r="N7">
        <v>2000</v>
      </c>
      <c r="O7">
        <v>0.5</v>
      </c>
      <c r="P7">
        <v>100</v>
      </c>
      <c r="Q7">
        <v>70000</v>
      </c>
      <c r="R7">
        <v>70000</v>
      </c>
      <c r="S7">
        <v>210000</v>
      </c>
      <c r="T7">
        <v>258110</v>
      </c>
      <c r="U7">
        <v>8.3999999999999995E-5</v>
      </c>
      <c r="W7">
        <v>0</v>
      </c>
      <c r="X7" s="35">
        <v>1</v>
      </c>
      <c r="Y7" s="35"/>
      <c r="Z7" s="35"/>
      <c r="AA7" s="35"/>
      <c r="AB7" s="35"/>
      <c r="AC7" s="53"/>
      <c r="AD7" s="35" t="s">
        <v>102</v>
      </c>
      <c r="AE7" s="53">
        <v>10</v>
      </c>
      <c r="AF7" s="53">
        <v>20</v>
      </c>
      <c r="AG7" s="53"/>
      <c r="AH7" s="35"/>
      <c r="AI7" s="11"/>
      <c r="AJ7" s="11"/>
    </row>
    <row r="8" spans="2:36" s="26" customFormat="1" x14ac:dyDescent="0.25">
      <c r="B8" s="11" t="s">
        <v>66</v>
      </c>
      <c r="C8" s="35" t="s">
        <v>103</v>
      </c>
      <c r="D8" s="35">
        <v>16</v>
      </c>
      <c r="E8" s="35">
        <v>16</v>
      </c>
      <c r="F8" s="35" t="s">
        <v>101</v>
      </c>
      <c r="G8" s="35" t="s">
        <v>101</v>
      </c>
      <c r="H8" s="35" t="s">
        <v>101</v>
      </c>
      <c r="I8" s="35" t="s">
        <v>101</v>
      </c>
      <c r="J8" s="40">
        <v>5</v>
      </c>
      <c r="K8" s="35">
        <v>20</v>
      </c>
      <c r="L8" s="80">
        <v>0</v>
      </c>
      <c r="M8" s="80">
        <v>0.67</v>
      </c>
      <c r="N8">
        <v>2000</v>
      </c>
      <c r="O8">
        <v>0.5</v>
      </c>
      <c r="P8">
        <v>100</v>
      </c>
      <c r="Q8">
        <v>25000</v>
      </c>
      <c r="R8">
        <v>25000</v>
      </c>
      <c r="S8">
        <v>75000</v>
      </c>
      <c r="T8">
        <v>258110</v>
      </c>
      <c r="U8">
        <v>8.3999999999999995E-5</v>
      </c>
      <c r="W8">
        <v>0</v>
      </c>
      <c r="X8" s="35">
        <v>1</v>
      </c>
      <c r="Y8" s="35"/>
      <c r="Z8" s="35"/>
      <c r="AA8" s="35"/>
      <c r="AB8" s="35"/>
      <c r="AC8" s="35"/>
      <c r="AD8" s="35" t="s">
        <v>68</v>
      </c>
      <c r="AE8" s="35"/>
      <c r="AF8" s="35"/>
      <c r="AG8" s="35"/>
      <c r="AH8" s="35"/>
      <c r="AI8" s="11"/>
      <c r="AJ8" s="11"/>
    </row>
    <row r="9" spans="2:36" s="26" customFormat="1" x14ac:dyDescent="0.25">
      <c r="B9" s="11" t="s">
        <v>99</v>
      </c>
      <c r="C9" s="80" t="s">
        <v>104</v>
      </c>
      <c r="D9" s="80">
        <v>19</v>
      </c>
      <c r="E9" s="80">
        <v>20</v>
      </c>
      <c r="F9" s="80" t="s">
        <v>101</v>
      </c>
      <c r="G9" s="80" t="s">
        <v>101</v>
      </c>
      <c r="H9" s="80" t="s">
        <v>101</v>
      </c>
      <c r="I9" s="80" t="s">
        <v>101</v>
      </c>
      <c r="J9" s="81">
        <v>0.1</v>
      </c>
      <c r="K9" s="80">
        <v>45</v>
      </c>
      <c r="L9" s="80">
        <v>0</v>
      </c>
      <c r="M9" s="80">
        <v>0.67</v>
      </c>
      <c r="N9">
        <v>2000</v>
      </c>
      <c r="O9">
        <v>0.5</v>
      </c>
      <c r="P9">
        <v>100</v>
      </c>
      <c r="Q9">
        <v>100000</v>
      </c>
      <c r="R9">
        <v>85000</v>
      </c>
      <c r="S9">
        <v>300000</v>
      </c>
      <c r="W9">
        <v>0</v>
      </c>
      <c r="X9" s="35">
        <v>1</v>
      </c>
      <c r="Y9" s="35"/>
      <c r="Z9" s="35"/>
      <c r="AA9" s="35"/>
      <c r="AB9" s="35"/>
      <c r="AC9" s="35"/>
      <c r="AD9" s="35" t="s">
        <v>105</v>
      </c>
      <c r="AE9" s="35">
        <v>0</v>
      </c>
      <c r="AF9" s="35">
        <v>0</v>
      </c>
      <c r="AG9" s="35"/>
      <c r="AH9" s="35"/>
      <c r="AI9" s="11"/>
      <c r="AJ9" s="11"/>
    </row>
    <row r="10" spans="2:36" s="26" customFormat="1" outlineLevel="1" x14ac:dyDescent="0.25">
      <c r="B10" s="11" t="s">
        <v>99</v>
      </c>
      <c r="C10" s="80" t="s">
        <v>106</v>
      </c>
      <c r="D10" s="80">
        <v>18</v>
      </c>
      <c r="E10" s="80">
        <v>19</v>
      </c>
      <c r="F10" s="80" t="s">
        <v>101</v>
      </c>
      <c r="G10" s="80" t="s">
        <v>101</v>
      </c>
      <c r="H10" s="80" t="s">
        <v>101</v>
      </c>
      <c r="I10" s="80" t="s">
        <v>101</v>
      </c>
      <c r="J10" s="81">
        <v>0.1</v>
      </c>
      <c r="K10" s="80">
        <v>35</v>
      </c>
      <c r="L10" s="80">
        <v>0</v>
      </c>
      <c r="M10" s="80">
        <v>0.67</v>
      </c>
      <c r="N10">
        <v>2000</v>
      </c>
      <c r="O10">
        <v>0.5</v>
      </c>
      <c r="P10">
        <v>100</v>
      </c>
      <c r="Q10">
        <v>70000</v>
      </c>
      <c r="R10">
        <v>70000</v>
      </c>
      <c r="S10">
        <v>210000</v>
      </c>
      <c r="T10">
        <v>258110</v>
      </c>
      <c r="U10">
        <v>8.3999999999999995E-5</v>
      </c>
      <c r="W10">
        <v>0</v>
      </c>
      <c r="X10" s="35">
        <v>1</v>
      </c>
      <c r="Y10" s="35"/>
      <c r="Z10" s="35"/>
      <c r="AA10" s="35"/>
      <c r="AB10" s="35"/>
      <c r="AC10" s="35"/>
      <c r="AD10" s="35" t="s">
        <v>102</v>
      </c>
      <c r="AE10" s="35">
        <v>10</v>
      </c>
      <c r="AF10" s="35">
        <v>20</v>
      </c>
      <c r="AG10" s="35"/>
      <c r="AH10" s="35"/>
      <c r="AI10" s="11"/>
      <c r="AJ10" s="11"/>
    </row>
    <row r="11" spans="2:36" s="26" customFormat="1" x14ac:dyDescent="0.25">
      <c r="B11" s="11" t="s">
        <v>62</v>
      </c>
      <c r="C11" s="80" t="s">
        <v>107</v>
      </c>
      <c r="D11" s="80">
        <v>15.5</v>
      </c>
      <c r="E11" s="80">
        <v>15.5</v>
      </c>
      <c r="F11" s="80">
        <v>0</v>
      </c>
      <c r="G11" s="80">
        <v>4</v>
      </c>
      <c r="H11" s="80">
        <v>4</v>
      </c>
      <c r="I11" s="80">
        <v>6</v>
      </c>
      <c r="J11" s="81">
        <v>2</v>
      </c>
      <c r="K11" s="80">
        <v>24</v>
      </c>
      <c r="L11" s="80">
        <v>0</v>
      </c>
      <c r="M11" s="80">
        <v>0.8</v>
      </c>
      <c r="N11">
        <v>2000</v>
      </c>
      <c r="O11">
        <v>0.9</v>
      </c>
      <c r="P11">
        <v>100</v>
      </c>
      <c r="Q11">
        <v>109629</v>
      </c>
      <c r="R11">
        <v>109629</v>
      </c>
      <c r="S11">
        <v>328887</v>
      </c>
      <c r="T11">
        <v>371970</v>
      </c>
      <c r="U11">
        <v>6.3999999999999997E-5</v>
      </c>
      <c r="W11">
        <v>45</v>
      </c>
      <c r="X11" s="35">
        <v>1</v>
      </c>
      <c r="Y11" s="35"/>
      <c r="Z11" s="35">
        <v>1.66</v>
      </c>
      <c r="AA11" s="35">
        <v>8.7999999999999995E-2</v>
      </c>
      <c r="AB11" s="35">
        <v>1.7600000000000001E-2</v>
      </c>
      <c r="AC11" s="35">
        <v>3.5000000000000001E-3</v>
      </c>
      <c r="AD11" s="35" t="s">
        <v>6</v>
      </c>
      <c r="AE11" s="35">
        <v>10</v>
      </c>
      <c r="AF11" s="35">
        <v>20</v>
      </c>
      <c r="AG11" s="35">
        <v>5.0000000000000002E-5</v>
      </c>
      <c r="AH11" s="35">
        <f>1.5/20</f>
        <v>7.4999999999999997E-2</v>
      </c>
      <c r="AI11" s="11">
        <f t="shared" ref="AI11:AJ13" si="0">IF(B11="","",$C$3-F11)</f>
        <v>0</v>
      </c>
      <c r="AJ11" s="11">
        <f t="shared" si="0"/>
        <v>-4</v>
      </c>
    </row>
    <row r="12" spans="2:36" s="26" customFormat="1" x14ac:dyDescent="0.25">
      <c r="B12" s="11" t="s">
        <v>62</v>
      </c>
      <c r="C12" s="80" t="s">
        <v>108</v>
      </c>
      <c r="D12" s="80">
        <v>17</v>
      </c>
      <c r="E12" s="80">
        <v>17</v>
      </c>
      <c r="F12" s="80">
        <v>4</v>
      </c>
      <c r="G12" s="80">
        <v>11</v>
      </c>
      <c r="H12" s="80">
        <v>12</v>
      </c>
      <c r="I12" s="80">
        <v>18</v>
      </c>
      <c r="J12" s="81">
        <v>2</v>
      </c>
      <c r="K12" s="80">
        <v>26</v>
      </c>
      <c r="L12" s="80">
        <v>0</v>
      </c>
      <c r="M12" s="80">
        <v>0.8</v>
      </c>
      <c r="N12">
        <v>2000</v>
      </c>
      <c r="O12">
        <v>0.9</v>
      </c>
      <c r="P12">
        <v>100</v>
      </c>
      <c r="Q12">
        <v>131950</v>
      </c>
      <c r="R12">
        <v>131950</v>
      </c>
      <c r="S12">
        <v>395850</v>
      </c>
      <c r="T12">
        <v>472580</v>
      </c>
      <c r="U12">
        <v>9.5000000000000005E-5</v>
      </c>
      <c r="W12">
        <v>33</v>
      </c>
      <c r="X12" s="35">
        <v>1</v>
      </c>
      <c r="Y12" s="35"/>
      <c r="Z12" s="35">
        <v>1.1399999999999999</v>
      </c>
      <c r="AA12" s="35">
        <v>8.2000000000000003E-2</v>
      </c>
      <c r="AB12" s="35">
        <v>1.6400000000000001E-2</v>
      </c>
      <c r="AC12" s="35">
        <v>3.3E-3</v>
      </c>
      <c r="AD12" s="35" t="s">
        <v>6</v>
      </c>
      <c r="AE12" s="35">
        <v>50</v>
      </c>
      <c r="AF12" s="35">
        <v>40</v>
      </c>
      <c r="AG12" s="35">
        <v>1E-4</v>
      </c>
      <c r="AH12" s="35">
        <f>1.5/20</f>
        <v>7.4999999999999997E-2</v>
      </c>
      <c r="AI12" s="11">
        <f t="shared" si="0"/>
        <v>-4</v>
      </c>
      <c r="AJ12" s="11">
        <f t="shared" si="0"/>
        <v>-11</v>
      </c>
    </row>
    <row r="13" spans="2:36" x14ac:dyDescent="0.25">
      <c r="B13" s="3" t="s">
        <v>62</v>
      </c>
      <c r="C13" s="80" t="s">
        <v>109</v>
      </c>
      <c r="D13" s="4">
        <v>18</v>
      </c>
      <c r="E13" s="4">
        <v>18</v>
      </c>
      <c r="F13" s="4">
        <v>11</v>
      </c>
      <c r="G13" s="4">
        <v>20</v>
      </c>
      <c r="H13" s="4">
        <v>30</v>
      </c>
      <c r="I13" s="4">
        <v>45</v>
      </c>
      <c r="J13" s="27">
        <v>5</v>
      </c>
      <c r="K13" s="35">
        <v>25</v>
      </c>
      <c r="L13" s="35">
        <v>0</v>
      </c>
      <c r="M13" s="35">
        <v>0.8</v>
      </c>
      <c r="N13">
        <v>4000</v>
      </c>
      <c r="O13">
        <v>0.9</v>
      </c>
      <c r="P13">
        <v>100</v>
      </c>
      <c r="Q13">
        <v>174278</v>
      </c>
      <c r="R13">
        <v>174278</v>
      </c>
      <c r="S13">
        <v>522834</v>
      </c>
      <c r="T13">
        <v>328515</v>
      </c>
      <c r="U13">
        <v>3.2499999999999999E-4</v>
      </c>
      <c r="W13">
        <v>50</v>
      </c>
      <c r="X13" s="35">
        <v>1</v>
      </c>
      <c r="Y13" s="35"/>
      <c r="Z13" s="35">
        <v>1</v>
      </c>
      <c r="AA13" s="35">
        <v>0.05</v>
      </c>
      <c r="AB13" s="35">
        <v>1.2E-2</v>
      </c>
      <c r="AC13" s="35">
        <v>2E-3</v>
      </c>
      <c r="AD13" s="35" t="s">
        <v>6</v>
      </c>
      <c r="AE13" s="35">
        <v>40</v>
      </c>
      <c r="AF13" s="35">
        <v>30</v>
      </c>
      <c r="AG13" s="35">
        <v>1E-4</v>
      </c>
      <c r="AH13" s="35">
        <f>1.5/20</f>
        <v>7.4999999999999997E-2</v>
      </c>
      <c r="AI13" s="3">
        <f t="shared" si="0"/>
        <v>-11</v>
      </c>
      <c r="AJ13" s="3">
        <f t="shared" si="0"/>
        <v>-20</v>
      </c>
    </row>
    <row r="14" spans="2:36" outlineLevel="1" x14ac:dyDescent="0.25">
      <c r="B14" s="3"/>
      <c r="C14" s="35"/>
      <c r="D14" s="35"/>
      <c r="E14" s="35"/>
      <c r="F14" s="35"/>
      <c r="G14" s="35"/>
      <c r="H14" s="35"/>
      <c r="I14" s="35"/>
      <c r="J14" s="40"/>
      <c r="K14" s="35"/>
      <c r="L14" s="52"/>
      <c r="M14" s="52"/>
      <c r="X14" s="35"/>
      <c r="Y14" s="35"/>
      <c r="Z14" s="35"/>
      <c r="AA14" s="35"/>
      <c r="AB14" s="35"/>
      <c r="AC14" s="35"/>
      <c r="AD14" s="35"/>
      <c r="AE14" s="35"/>
      <c r="AF14" s="35"/>
      <c r="AG14" s="35"/>
      <c r="AH14" s="35"/>
      <c r="AI14" s="3"/>
      <c r="AJ14" s="3"/>
    </row>
    <row r="15" spans="2:36" outlineLevel="1" x14ac:dyDescent="0.25">
      <c r="B15" s="11" t="s">
        <v>110</v>
      </c>
      <c r="C15" s="11" t="s">
        <v>111</v>
      </c>
      <c r="D15" s="35"/>
      <c r="E15" s="35"/>
      <c r="F15" s="35"/>
      <c r="G15" s="35"/>
      <c r="H15" s="35"/>
      <c r="I15" s="35"/>
      <c r="J15" s="35"/>
      <c r="K15" s="35"/>
      <c r="L15" s="52"/>
      <c r="M15" s="52"/>
      <c r="X15" s="35"/>
      <c r="Y15" s="35"/>
      <c r="Z15" s="35"/>
      <c r="AA15" s="35"/>
      <c r="AB15" s="35"/>
      <c r="AC15" s="53"/>
      <c r="AD15" s="35"/>
      <c r="AE15" s="53"/>
      <c r="AF15" s="53"/>
      <c r="AG15" s="53"/>
      <c r="AH15" s="35"/>
      <c r="AI15" s="3"/>
      <c r="AJ15" s="3"/>
    </row>
    <row r="16" spans="2:36" x14ac:dyDescent="0.25">
      <c r="B16" s="11" t="s">
        <v>110</v>
      </c>
      <c r="C16" s="11" t="s">
        <v>112</v>
      </c>
      <c r="D16" s="11"/>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8" spans="2:11" ht="16.5" customHeight="1" x14ac:dyDescent="0.3">
      <c r="B18" s="46" t="s">
        <v>113</v>
      </c>
      <c r="C18" s="46" t="s">
        <v>114</v>
      </c>
      <c r="D18" s="46" t="s">
        <v>115</v>
      </c>
      <c r="E18" s="46" t="s">
        <v>116</v>
      </c>
      <c r="F18" s="46" t="s">
        <v>117</v>
      </c>
      <c r="G18" s="46" t="s">
        <v>118</v>
      </c>
      <c r="H18" s="46" t="s">
        <v>119</v>
      </c>
      <c r="I18" s="46" t="s">
        <v>120</v>
      </c>
      <c r="J18" s="46" t="s">
        <v>121</v>
      </c>
      <c r="K18" s="46" t="s">
        <v>122</v>
      </c>
    </row>
    <row r="19" spans="2:11" hidden="1" x14ac:dyDescent="0.25">
      <c r="B19" s="3"/>
      <c r="C19" s="3"/>
      <c r="D19" s="3"/>
      <c r="E19" s="3"/>
      <c r="F19" s="3"/>
      <c r="G19" s="3"/>
      <c r="H19" s="3"/>
      <c r="I19" s="3"/>
      <c r="J19" s="52"/>
      <c r="K19" s="52"/>
    </row>
    <row r="20" spans="2:11" hidden="1" x14ac:dyDescent="0.25">
      <c r="B20" s="3"/>
      <c r="C20" s="3"/>
      <c r="D20" s="3"/>
      <c r="E20" s="3"/>
      <c r="F20" s="3"/>
      <c r="G20" s="3"/>
      <c r="H20" s="3"/>
      <c r="I20" s="3"/>
      <c r="J20" s="52"/>
      <c r="K20" s="52"/>
    </row>
    <row r="21" spans="2:11" hidden="1" x14ac:dyDescent="0.25">
      <c r="B21" s="3"/>
      <c r="C21" s="3"/>
      <c r="D21" s="3"/>
      <c r="E21" s="3"/>
      <c r="F21" s="3"/>
      <c r="G21" s="3"/>
      <c r="H21" s="3"/>
      <c r="I21" s="3"/>
      <c r="J21" s="52"/>
      <c r="K21" s="52"/>
    </row>
    <row r="22" spans="2:11" hidden="1" outlineLevel="1" x14ac:dyDescent="0.25">
      <c r="B22" s="3"/>
      <c r="C22" s="3"/>
      <c r="D22" s="3"/>
      <c r="E22" s="3"/>
      <c r="F22" s="3"/>
      <c r="G22" s="3"/>
      <c r="H22" s="3"/>
      <c r="I22" s="3"/>
      <c r="J22" s="52"/>
      <c r="K22" s="52"/>
    </row>
    <row r="23" spans="2:11" hidden="1" outlineLevel="1" x14ac:dyDescent="0.25">
      <c r="B23" s="3"/>
      <c r="C23" s="3"/>
      <c r="D23" s="3"/>
      <c r="E23" s="3"/>
      <c r="F23" s="3"/>
      <c r="G23" s="3"/>
      <c r="H23" s="3"/>
      <c r="I23" s="3"/>
      <c r="J23" s="52"/>
      <c r="K23" s="52"/>
    </row>
    <row r="24" spans="2:11" hidden="1" outlineLevel="1" x14ac:dyDescent="0.25">
      <c r="B24" s="3"/>
      <c r="C24" s="3"/>
      <c r="D24" s="3"/>
      <c r="E24" s="3"/>
      <c r="F24" s="3"/>
      <c r="G24" s="3"/>
      <c r="H24" s="3"/>
      <c r="I24" s="3"/>
      <c r="J24" s="52"/>
      <c r="K24" s="52"/>
    </row>
    <row r="25" spans="2:11" hidden="1" outlineLevel="1" x14ac:dyDescent="0.25">
      <c r="B25" s="3"/>
      <c r="C25" s="3"/>
      <c r="D25" s="3"/>
      <c r="E25" s="3"/>
      <c r="F25" s="3"/>
      <c r="G25" s="3"/>
      <c r="H25" s="3"/>
      <c r="I25" s="3"/>
      <c r="J25" s="52"/>
      <c r="K25" s="52"/>
    </row>
    <row r="26" spans="2:11" hidden="1" outlineLevel="1" x14ac:dyDescent="0.25">
      <c r="B26" s="3"/>
      <c r="C26" s="3"/>
      <c r="D26" s="3"/>
      <c r="E26" s="3"/>
      <c r="F26" s="3"/>
      <c r="G26" s="3"/>
      <c r="H26" s="3"/>
      <c r="I26" s="3"/>
      <c r="J26" s="52"/>
      <c r="K26" s="52"/>
    </row>
    <row r="27" spans="2:11" hidden="1" outlineLevel="1" x14ac:dyDescent="0.25">
      <c r="B27" s="3"/>
      <c r="C27" s="3"/>
      <c r="D27" s="3"/>
      <c r="E27" s="3"/>
      <c r="F27" s="3"/>
      <c r="G27" s="3"/>
      <c r="H27" s="3"/>
      <c r="I27" s="3"/>
      <c r="J27" s="52"/>
      <c r="K27" s="52"/>
    </row>
    <row r="28" spans="2:11" hidden="1" outlineLevel="1" x14ac:dyDescent="0.25">
      <c r="B28" s="3"/>
      <c r="C28" s="3"/>
      <c r="D28" s="3"/>
      <c r="E28" s="3"/>
      <c r="F28" s="3"/>
      <c r="G28" s="3"/>
      <c r="H28" s="3"/>
      <c r="I28" s="3"/>
      <c r="J28" s="52"/>
      <c r="K28" s="52"/>
    </row>
    <row r="29" spans="2:11" hidden="1" outlineLevel="1" x14ac:dyDescent="0.25">
      <c r="B29" s="3"/>
      <c r="C29" s="3"/>
      <c r="D29" s="3"/>
      <c r="E29" s="3"/>
      <c r="F29" s="3"/>
      <c r="G29" s="3"/>
      <c r="H29" s="3"/>
      <c r="I29" s="3"/>
      <c r="J29" s="52"/>
      <c r="K29" s="52"/>
    </row>
    <row r="30" spans="2:11" hidden="1" outlineLevel="1" x14ac:dyDescent="0.25">
      <c r="B30" s="3"/>
      <c r="C30" s="3"/>
      <c r="D30" s="3"/>
      <c r="E30" s="3"/>
      <c r="F30" s="3"/>
      <c r="G30" s="3"/>
      <c r="H30" s="3"/>
      <c r="I30" s="3"/>
      <c r="J30" s="52"/>
      <c r="K30" s="52"/>
    </row>
    <row r="31" spans="2:11" hidden="1" outlineLevel="1" x14ac:dyDescent="0.25">
      <c r="B31" s="3"/>
      <c r="C31" s="3"/>
      <c r="D31" s="3"/>
      <c r="E31" s="3"/>
      <c r="F31" s="3"/>
      <c r="G31" s="3"/>
      <c r="H31" s="3"/>
      <c r="I31" s="3"/>
      <c r="J31" s="52"/>
      <c r="K31" s="52"/>
    </row>
    <row r="32" spans="2:11" hidden="1" outlineLevel="1" x14ac:dyDescent="0.25">
      <c r="B32" s="3"/>
      <c r="C32" s="3"/>
      <c r="D32" s="3"/>
      <c r="E32" s="3"/>
      <c r="F32" s="3"/>
      <c r="G32" s="3"/>
      <c r="H32" s="3"/>
      <c r="I32" s="3"/>
      <c r="J32" s="52"/>
      <c r="K32" s="52"/>
    </row>
    <row r="33" spans="2:25" hidden="1" outlineLevel="1" x14ac:dyDescent="0.25">
      <c r="B33" s="3"/>
      <c r="C33" s="3"/>
      <c r="D33" s="3"/>
      <c r="E33" s="3"/>
      <c r="F33" s="3"/>
      <c r="G33" s="3"/>
      <c r="H33" s="3"/>
      <c r="I33" s="3"/>
      <c r="J33" s="52"/>
      <c r="K33" s="52"/>
    </row>
    <row r="34" spans="2:25" hidden="1" outlineLevel="1" x14ac:dyDescent="0.25">
      <c r="B34" s="3"/>
      <c r="C34" s="3"/>
      <c r="D34" s="3"/>
      <c r="E34" s="3"/>
      <c r="F34" s="3"/>
      <c r="G34" s="3"/>
      <c r="H34" s="3"/>
      <c r="I34" s="3"/>
      <c r="J34" s="52"/>
      <c r="K34" s="52"/>
    </row>
    <row r="35" spans="2:25" hidden="1" outlineLevel="1" x14ac:dyDescent="0.25">
      <c r="B35" s="3"/>
      <c r="C35" s="3"/>
      <c r="D35" s="3"/>
      <c r="E35" s="3"/>
      <c r="F35" s="3"/>
      <c r="G35" s="3"/>
      <c r="H35" s="3"/>
      <c r="I35" s="3"/>
      <c r="J35" s="52"/>
      <c r="K35" s="52"/>
    </row>
    <row r="36" spans="2:25" hidden="1" outlineLevel="1" x14ac:dyDescent="0.25">
      <c r="B36" s="3"/>
      <c r="C36" s="3"/>
      <c r="D36" s="3"/>
      <c r="E36" s="3"/>
      <c r="F36" s="3"/>
      <c r="G36" s="3"/>
      <c r="H36" s="3"/>
      <c r="I36" s="3"/>
      <c r="J36" s="52"/>
      <c r="K36" s="52"/>
    </row>
    <row r="37" spans="2:25" hidden="1" outlineLevel="1" x14ac:dyDescent="0.25">
      <c r="B37" s="3"/>
      <c r="C37" s="3"/>
      <c r="D37" s="3"/>
      <c r="E37" s="3"/>
      <c r="F37" s="3"/>
      <c r="G37" s="3"/>
      <c r="H37" s="3"/>
      <c r="I37" s="3"/>
      <c r="J37" s="52"/>
      <c r="K37" s="52"/>
    </row>
    <row r="38" spans="2:25" hidden="1" outlineLevel="1" x14ac:dyDescent="0.25">
      <c r="B38" s="3"/>
      <c r="C38" s="3"/>
      <c r="D38" s="3"/>
      <c r="E38" s="3"/>
      <c r="F38" s="3"/>
      <c r="G38" s="3"/>
      <c r="H38" s="3"/>
      <c r="I38" s="3"/>
      <c r="J38" s="52"/>
      <c r="K38" s="52"/>
    </row>
    <row r="39" spans="2:25" collapsed="1" x14ac:dyDescent="0.25"/>
    <row r="40" spans="2:25" s="56" customFormat="1" x14ac:dyDescent="0.25">
      <c r="B40" s="57" t="s">
        <v>123</v>
      </c>
    </row>
    <row r="42" spans="2:25" s="26" customFormat="1" ht="16.5" customHeight="1" x14ac:dyDescent="0.3">
      <c r="B42" s="46" t="s">
        <v>124</v>
      </c>
      <c r="C42" s="46" t="s">
        <v>114</v>
      </c>
      <c r="D42" s="46" t="s">
        <v>115</v>
      </c>
      <c r="E42" s="46" t="s">
        <v>116</v>
      </c>
      <c r="F42" s="46" t="s">
        <v>117</v>
      </c>
      <c r="G42" s="46" t="s">
        <v>118</v>
      </c>
      <c r="H42" s="46" t="s">
        <v>125</v>
      </c>
      <c r="I42" s="46" t="s">
        <v>126</v>
      </c>
      <c r="J42" s="46" t="s">
        <v>127</v>
      </c>
      <c r="K42" s="46" t="s">
        <v>128</v>
      </c>
      <c r="L42" s="46" t="s">
        <v>129</v>
      </c>
      <c r="M42" s="46" t="s">
        <v>130</v>
      </c>
      <c r="N42" s="46" t="s">
        <v>131</v>
      </c>
      <c r="O42" s="46" t="s">
        <v>132</v>
      </c>
      <c r="P42" s="46" t="s">
        <v>133</v>
      </c>
      <c r="Q42" s="46" t="s">
        <v>134</v>
      </c>
      <c r="R42" s="46" t="s">
        <v>135</v>
      </c>
      <c r="S42" s="46" t="s">
        <v>136</v>
      </c>
      <c r="T42" s="46" t="s">
        <v>137</v>
      </c>
      <c r="U42" s="46" t="s">
        <v>138</v>
      </c>
      <c r="V42" s="46" t="s">
        <v>139</v>
      </c>
      <c r="W42" s="46" t="s">
        <v>140</v>
      </c>
      <c r="X42" s="46" t="s">
        <v>141</v>
      </c>
      <c r="Y42" s="46" t="s">
        <v>142</v>
      </c>
    </row>
    <row r="43" spans="2:25" s="26" customFormat="1" hidden="1" x14ac:dyDescent="0.25">
      <c r="B43" s="42"/>
      <c r="C43" s="68"/>
      <c r="D43" s="43"/>
      <c r="E43" s="43"/>
      <c r="F43" s="43"/>
      <c r="G43" s="43"/>
      <c r="H43" s="35"/>
      <c r="I43" s="35"/>
      <c r="J43" s="35"/>
      <c r="K43" s="35"/>
      <c r="L43" s="35"/>
      <c r="M43" s="35"/>
      <c r="N43" s="35"/>
      <c r="O43" s="35"/>
      <c r="P43" s="45"/>
      <c r="Q43" s="45"/>
      <c r="R43" s="45"/>
      <c r="S43" s="45"/>
      <c r="T43" s="44"/>
      <c r="U43" s="44"/>
      <c r="V43" s="43">
        <v>8.3333000000000004E-2</v>
      </c>
      <c r="W43" s="43">
        <v>1666666.666666667</v>
      </c>
      <c r="X43" s="43">
        <v>20000000</v>
      </c>
      <c r="Y43" s="43">
        <v>20000000</v>
      </c>
    </row>
    <row r="44" spans="2:25" s="26" customFormat="1" hidden="1" x14ac:dyDescent="0.25">
      <c r="B44" s="37"/>
      <c r="C44" s="37"/>
      <c r="D44" s="11"/>
      <c r="E44" s="11"/>
      <c r="F44" s="11"/>
      <c r="G44" s="11"/>
      <c r="H44" s="35"/>
      <c r="I44" s="35"/>
      <c r="J44" s="35"/>
      <c r="K44" s="35"/>
      <c r="L44" s="35"/>
      <c r="M44" s="35"/>
      <c r="N44" s="35"/>
      <c r="O44" s="35"/>
      <c r="P44" s="35"/>
      <c r="Q44" s="35"/>
      <c r="R44" s="35"/>
      <c r="S44" s="35"/>
      <c r="T44" s="35"/>
      <c r="U44" s="35"/>
      <c r="V44" s="11">
        <v>8.3333000000000004E-2</v>
      </c>
      <c r="W44" s="11">
        <v>1666666.666666667</v>
      </c>
      <c r="X44" s="11">
        <v>20000000</v>
      </c>
      <c r="Y44" s="11">
        <v>20000000</v>
      </c>
    </row>
    <row r="45" spans="2:25" s="26" customFormat="1" hidden="1" x14ac:dyDescent="0.25">
      <c r="B45" s="37"/>
      <c r="C45" s="37"/>
      <c r="D45" s="11"/>
      <c r="E45" s="11"/>
      <c r="F45" s="11"/>
      <c r="G45" s="11"/>
      <c r="H45" s="35"/>
      <c r="I45" s="35"/>
      <c r="J45" s="35"/>
      <c r="K45" s="35"/>
      <c r="L45" s="35"/>
      <c r="M45" s="35"/>
      <c r="N45" s="35"/>
      <c r="O45" s="35"/>
      <c r="P45" s="35"/>
      <c r="Q45" s="35"/>
      <c r="R45" s="35"/>
      <c r="S45" s="35"/>
      <c r="T45" s="35"/>
      <c r="U45" s="35"/>
      <c r="V45" s="11">
        <v>8.3333000000000004E-2</v>
      </c>
      <c r="W45" s="11">
        <v>1666666.666666667</v>
      </c>
      <c r="X45" s="11">
        <v>20000000</v>
      </c>
      <c r="Y45" s="11">
        <v>20000000</v>
      </c>
    </row>
    <row r="46" spans="2:25" s="26" customFormat="1" hidden="1" outlineLevel="1" x14ac:dyDescent="0.25">
      <c r="B46" s="37"/>
      <c r="C46" s="37"/>
      <c r="D46" s="11"/>
      <c r="E46" s="11"/>
      <c r="F46" s="11"/>
      <c r="G46" s="11"/>
      <c r="H46" s="35"/>
      <c r="I46" s="35"/>
      <c r="J46" s="35"/>
      <c r="K46" s="35"/>
      <c r="L46" s="35"/>
      <c r="M46" s="35"/>
      <c r="N46" s="35"/>
      <c r="O46" s="35"/>
      <c r="P46" s="35"/>
      <c r="Q46" s="35"/>
      <c r="R46" s="35"/>
      <c r="S46" s="35"/>
      <c r="T46" s="35"/>
      <c r="U46" s="35"/>
      <c r="V46" s="11">
        <v>8.3333000000000004E-2</v>
      </c>
      <c r="W46" s="11">
        <v>1666666.666666667</v>
      </c>
      <c r="X46" s="11">
        <v>20000000</v>
      </c>
      <c r="Y46" s="11">
        <v>20000000</v>
      </c>
    </row>
    <row r="47" spans="2:25" s="26" customFormat="1" hidden="1" outlineLevel="1" x14ac:dyDescent="0.25">
      <c r="B47" s="37"/>
      <c r="C47" s="37"/>
      <c r="D47" s="11"/>
      <c r="E47" s="11"/>
      <c r="F47" s="11"/>
      <c r="G47" s="11"/>
      <c r="H47" s="35"/>
      <c r="I47" s="35"/>
      <c r="J47" s="35"/>
      <c r="K47" s="35"/>
      <c r="L47" s="35"/>
      <c r="M47" s="35"/>
      <c r="N47" s="35"/>
      <c r="O47" s="35"/>
      <c r="P47" s="35"/>
      <c r="Q47" s="35"/>
      <c r="R47" s="35"/>
      <c r="S47" s="35"/>
      <c r="T47" s="35"/>
      <c r="U47" s="35"/>
      <c r="V47" s="11">
        <v>8.3333000000000004E-2</v>
      </c>
      <c r="W47" s="11">
        <v>1666666.666666667</v>
      </c>
      <c r="X47" s="11">
        <v>20000000</v>
      </c>
      <c r="Y47" s="11">
        <v>20000000</v>
      </c>
    </row>
    <row r="48" spans="2:25" s="26" customFormat="1" hidden="1" outlineLevel="1" x14ac:dyDescent="0.25">
      <c r="B48" s="37"/>
      <c r="C48" s="37"/>
      <c r="D48" s="11"/>
      <c r="E48" s="11"/>
      <c r="F48" s="11"/>
      <c r="G48" s="11"/>
      <c r="H48" s="35"/>
      <c r="I48" s="35"/>
      <c r="J48" s="35"/>
      <c r="K48" s="35"/>
      <c r="L48" s="35"/>
      <c r="M48" s="35"/>
      <c r="N48" s="35"/>
      <c r="O48" s="35"/>
      <c r="P48" s="35"/>
      <c r="Q48" s="35"/>
      <c r="R48" s="35"/>
      <c r="S48" s="35"/>
      <c r="T48" s="35"/>
      <c r="U48" s="35"/>
      <c r="V48" s="11"/>
      <c r="W48" s="11"/>
      <c r="X48" s="11"/>
      <c r="Y48" s="11"/>
    </row>
    <row r="49" spans="2:25" s="26" customFormat="1" hidden="1" outlineLevel="1" x14ac:dyDescent="0.25">
      <c r="B49" s="37"/>
      <c r="C49" s="37"/>
      <c r="D49" s="11"/>
      <c r="E49" s="11"/>
      <c r="F49" s="11"/>
      <c r="G49" s="11"/>
      <c r="H49" s="35"/>
      <c r="I49" s="35"/>
      <c r="J49" s="35"/>
      <c r="K49" s="35"/>
      <c r="L49" s="35"/>
      <c r="M49" s="35"/>
      <c r="N49" s="35"/>
      <c r="O49" s="35"/>
      <c r="P49" s="35"/>
      <c r="Q49" s="35"/>
      <c r="R49" s="35"/>
      <c r="S49" s="35"/>
      <c r="T49" s="35"/>
      <c r="U49" s="35"/>
      <c r="V49" s="11"/>
      <c r="W49" s="11"/>
      <c r="X49" s="11"/>
      <c r="Y49" s="11"/>
    </row>
    <row r="50" spans="2:25" s="26" customFormat="1" hidden="1" outlineLevel="1" x14ac:dyDescent="0.25">
      <c r="B50" s="37"/>
      <c r="C50" s="37"/>
      <c r="D50" s="11"/>
      <c r="E50" s="11"/>
      <c r="F50" s="11"/>
      <c r="G50" s="11"/>
      <c r="H50" s="35"/>
      <c r="I50" s="35"/>
      <c r="J50" s="35"/>
      <c r="K50" s="35"/>
      <c r="L50" s="35"/>
      <c r="M50" s="35"/>
      <c r="N50" s="35"/>
      <c r="O50" s="35"/>
      <c r="P50" s="35"/>
      <c r="Q50" s="35"/>
      <c r="R50" s="35"/>
      <c r="S50" s="35"/>
      <c r="T50" s="35"/>
      <c r="U50" s="35"/>
      <c r="V50" s="11"/>
      <c r="W50" s="11"/>
      <c r="X50" s="11"/>
      <c r="Y50" s="11"/>
    </row>
    <row r="51" spans="2:25" s="26" customFormat="1" hidden="1" outlineLevel="1" x14ac:dyDescent="0.25">
      <c r="B51" s="37"/>
      <c r="C51" s="37"/>
      <c r="D51" s="11"/>
      <c r="E51" s="11"/>
      <c r="F51" s="11"/>
      <c r="G51" s="11"/>
      <c r="H51" s="35"/>
      <c r="I51" s="35"/>
      <c r="J51" s="35"/>
      <c r="K51" s="35"/>
      <c r="L51" s="35"/>
      <c r="M51" s="35"/>
      <c r="N51" s="35"/>
      <c r="O51" s="35"/>
      <c r="P51" s="35"/>
      <c r="Q51" s="35"/>
      <c r="R51" s="35"/>
      <c r="S51" s="35"/>
      <c r="T51" s="35"/>
      <c r="U51" s="35"/>
      <c r="V51" s="11"/>
      <c r="W51" s="11"/>
      <c r="X51" s="11"/>
      <c r="Y51" s="11"/>
    </row>
    <row r="52" spans="2:25" s="26" customFormat="1" hidden="1" outlineLevel="1" x14ac:dyDescent="0.25">
      <c r="B52" s="37"/>
      <c r="C52" s="37"/>
      <c r="D52" s="11"/>
      <c r="E52" s="11"/>
      <c r="F52" s="11"/>
      <c r="G52" s="11"/>
      <c r="H52" s="35"/>
      <c r="I52" s="35"/>
      <c r="J52" s="35"/>
      <c r="K52" s="35"/>
      <c r="L52" s="35"/>
      <c r="M52" s="35"/>
      <c r="N52" s="35"/>
      <c r="O52" s="35"/>
      <c r="P52" s="35"/>
      <c r="Q52" s="35"/>
      <c r="R52" s="35"/>
      <c r="S52" s="35"/>
      <c r="T52" s="35"/>
      <c r="U52" s="35"/>
      <c r="V52" s="11"/>
      <c r="W52" s="11"/>
      <c r="X52" s="11"/>
      <c r="Y52" s="11"/>
    </row>
    <row r="53" spans="2:25" s="26" customFormat="1" hidden="1" outlineLevel="1" x14ac:dyDescent="0.25">
      <c r="B53" s="37"/>
      <c r="C53" s="37"/>
      <c r="D53" s="11"/>
      <c r="E53" s="11"/>
      <c r="F53" s="11"/>
      <c r="G53" s="11"/>
      <c r="H53" s="35"/>
      <c r="I53" s="35"/>
      <c r="J53" s="35"/>
      <c r="K53" s="35"/>
      <c r="L53" s="35"/>
      <c r="M53" s="35"/>
      <c r="N53" s="35"/>
      <c r="O53" s="35"/>
      <c r="P53" s="35"/>
      <c r="Q53" s="35"/>
      <c r="R53" s="35"/>
      <c r="S53" s="35"/>
      <c r="T53" s="35"/>
      <c r="U53" s="35"/>
      <c r="V53" s="11"/>
      <c r="W53" s="11"/>
      <c r="X53" s="11"/>
      <c r="Y53" s="11"/>
    </row>
    <row r="54" spans="2:25" s="26" customFormat="1" hidden="1" outlineLevel="1" x14ac:dyDescent="0.25">
      <c r="B54" s="37"/>
      <c r="C54" s="37"/>
      <c r="D54" s="11"/>
      <c r="E54" s="11"/>
      <c r="F54" s="11"/>
      <c r="G54" s="11"/>
      <c r="H54" s="35"/>
      <c r="I54" s="35"/>
      <c r="J54" s="35"/>
      <c r="K54" s="35"/>
      <c r="L54" s="35"/>
      <c r="M54" s="35"/>
      <c r="N54" s="35"/>
      <c r="O54" s="35"/>
      <c r="P54" s="35"/>
      <c r="Q54" s="35"/>
      <c r="R54" s="35"/>
      <c r="S54" s="35"/>
      <c r="T54" s="35"/>
      <c r="U54" s="35"/>
      <c r="V54" s="11"/>
      <c r="W54" s="11"/>
      <c r="X54" s="11"/>
      <c r="Y54" s="11"/>
    </row>
    <row r="55" spans="2:25" s="26" customFormat="1" hidden="1" outlineLevel="1" x14ac:dyDescent="0.25">
      <c r="B55" s="37"/>
      <c r="C55" s="37"/>
      <c r="D55" s="11"/>
      <c r="E55" s="11"/>
      <c r="F55" s="11"/>
      <c r="G55" s="11"/>
      <c r="H55" s="35"/>
      <c r="I55" s="35"/>
      <c r="J55" s="35"/>
      <c r="K55" s="35"/>
      <c r="L55" s="35"/>
      <c r="M55" s="35"/>
      <c r="N55" s="35"/>
      <c r="O55" s="35"/>
      <c r="P55" s="35"/>
      <c r="Q55" s="35"/>
      <c r="R55" s="35"/>
      <c r="S55" s="35"/>
      <c r="T55" s="35"/>
      <c r="U55" s="35"/>
      <c r="V55" s="11"/>
      <c r="W55" s="11"/>
      <c r="X55" s="11"/>
      <c r="Y55" s="11"/>
    </row>
    <row r="56" spans="2:25" s="26" customFormat="1" hidden="1" outlineLevel="1" x14ac:dyDescent="0.25">
      <c r="B56" s="37"/>
      <c r="C56" s="37"/>
      <c r="D56" s="11"/>
      <c r="E56" s="11"/>
      <c r="F56" s="11"/>
      <c r="G56" s="11"/>
      <c r="H56" s="35"/>
      <c r="I56" s="35"/>
      <c r="J56" s="35"/>
      <c r="K56" s="35"/>
      <c r="L56" s="35"/>
      <c r="M56" s="35"/>
      <c r="N56" s="35"/>
      <c r="O56" s="35"/>
      <c r="P56" s="35"/>
      <c r="Q56" s="35"/>
      <c r="R56" s="35"/>
      <c r="S56" s="35"/>
      <c r="T56" s="35"/>
      <c r="U56" s="35"/>
      <c r="V56" s="11"/>
      <c r="W56" s="11"/>
      <c r="X56" s="11"/>
      <c r="Y56" s="11"/>
    </row>
    <row r="57" spans="2:25" s="26" customFormat="1" hidden="1" outlineLevel="1" x14ac:dyDescent="0.25">
      <c r="B57" s="37"/>
      <c r="C57" s="37"/>
      <c r="D57" s="11"/>
      <c r="E57" s="11"/>
      <c r="F57" s="11"/>
      <c r="G57" s="11"/>
      <c r="H57" s="35"/>
      <c r="I57" s="35"/>
      <c r="J57" s="35"/>
      <c r="K57" s="35"/>
      <c r="L57" s="35"/>
      <c r="M57" s="35"/>
      <c r="N57" s="35"/>
      <c r="O57" s="35"/>
      <c r="P57" s="35"/>
      <c r="Q57" s="35"/>
      <c r="R57" s="35"/>
      <c r="S57" s="35"/>
      <c r="T57" s="35"/>
      <c r="U57" s="35"/>
      <c r="V57" s="11"/>
      <c r="W57" s="11"/>
      <c r="X57" s="11"/>
      <c r="Y57" s="11"/>
    </row>
    <row r="58" spans="2:25" s="26" customFormat="1" hidden="1" outlineLevel="1" x14ac:dyDescent="0.25">
      <c r="B58" s="37"/>
      <c r="C58" s="37"/>
      <c r="D58" s="11"/>
      <c r="E58" s="11"/>
      <c r="F58" s="11"/>
      <c r="G58" s="11"/>
      <c r="H58" s="35"/>
      <c r="I58" s="35"/>
      <c r="J58" s="35"/>
      <c r="K58" s="35"/>
      <c r="L58" s="35"/>
      <c r="M58" s="35"/>
      <c r="N58" s="35"/>
      <c r="O58" s="35"/>
      <c r="P58" s="35"/>
      <c r="Q58" s="35"/>
      <c r="R58" s="35"/>
      <c r="S58" s="35"/>
      <c r="T58" s="35"/>
      <c r="U58" s="35"/>
      <c r="V58" s="11"/>
      <c r="W58" s="11"/>
      <c r="X58" s="11"/>
      <c r="Y58" s="11"/>
    </row>
    <row r="59" spans="2:25" s="26" customFormat="1" hidden="1" outlineLevel="1" x14ac:dyDescent="0.25">
      <c r="B59" s="37"/>
      <c r="C59" s="37"/>
      <c r="D59" s="11"/>
      <c r="E59" s="11"/>
      <c r="F59" s="11"/>
      <c r="G59" s="11"/>
      <c r="H59" s="35"/>
      <c r="I59" s="35"/>
      <c r="J59" s="35"/>
      <c r="K59" s="35"/>
      <c r="L59" s="35"/>
      <c r="M59" s="35"/>
      <c r="N59" s="35"/>
      <c r="O59" s="35"/>
      <c r="P59" s="35"/>
      <c r="Q59" s="35"/>
      <c r="R59" s="35"/>
      <c r="S59" s="35"/>
      <c r="T59" s="35"/>
      <c r="U59" s="35"/>
      <c r="V59" s="11"/>
      <c r="W59" s="11"/>
      <c r="X59" s="11"/>
      <c r="Y59" s="11"/>
    </row>
    <row r="60" spans="2:25" s="26" customFormat="1" hidden="1" outlineLevel="1" x14ac:dyDescent="0.25">
      <c r="B60" s="37"/>
      <c r="C60" s="37"/>
      <c r="D60" s="11"/>
      <c r="E60" s="11"/>
      <c r="F60" s="11"/>
      <c r="G60" s="11"/>
      <c r="H60" s="35"/>
      <c r="I60" s="35"/>
      <c r="J60" s="35"/>
      <c r="K60" s="35"/>
      <c r="L60" s="35"/>
      <c r="M60" s="35"/>
      <c r="N60" s="35"/>
      <c r="O60" s="35"/>
      <c r="P60" s="35"/>
      <c r="Q60" s="35"/>
      <c r="R60" s="35"/>
      <c r="S60" s="35"/>
      <c r="T60" s="35"/>
      <c r="U60" s="35"/>
      <c r="V60" s="11"/>
      <c r="W60" s="11"/>
      <c r="X60" s="11"/>
      <c r="Y60" s="11"/>
    </row>
    <row r="61" spans="2:25" s="26" customFormat="1" hidden="1" outlineLevel="1" x14ac:dyDescent="0.25">
      <c r="B61" s="37"/>
      <c r="C61" s="37"/>
      <c r="D61" s="11"/>
      <c r="E61" s="11"/>
      <c r="F61" s="11"/>
      <c r="G61" s="11"/>
      <c r="H61" s="35"/>
      <c r="I61" s="35"/>
      <c r="J61" s="35"/>
      <c r="K61" s="35"/>
      <c r="L61" s="35"/>
      <c r="M61" s="35"/>
      <c r="N61" s="35"/>
      <c r="O61" s="35"/>
      <c r="P61" s="35"/>
      <c r="Q61" s="35"/>
      <c r="R61" s="35"/>
      <c r="S61" s="35"/>
      <c r="T61" s="35"/>
      <c r="U61" s="35"/>
      <c r="V61" s="11"/>
      <c r="W61" s="11"/>
      <c r="X61" s="11"/>
      <c r="Y61" s="11"/>
    </row>
    <row r="62" spans="2:25" s="26" customFormat="1" hidden="1" outlineLevel="1" x14ac:dyDescent="0.25">
      <c r="B62" s="37"/>
      <c r="C62" s="37"/>
      <c r="D62" s="11"/>
      <c r="E62" s="11"/>
      <c r="F62" s="11"/>
      <c r="G62" s="11"/>
      <c r="H62" s="35"/>
      <c r="I62" s="35"/>
      <c r="J62" s="35"/>
      <c r="K62" s="35"/>
      <c r="L62" s="35"/>
      <c r="M62" s="35"/>
      <c r="N62" s="35"/>
      <c r="O62" s="35"/>
      <c r="P62" s="35"/>
      <c r="Q62" s="35"/>
      <c r="R62" s="35"/>
      <c r="S62" s="35"/>
      <c r="T62" s="35"/>
      <c r="U62" s="35"/>
      <c r="V62" s="11"/>
      <c r="W62" s="11"/>
      <c r="X62" s="11"/>
      <c r="Y62" s="11"/>
    </row>
    <row r="63" spans="2:25" s="26" customFormat="1" collapsed="1" x14ac:dyDescent="0.25"/>
    <row r="64" spans="2:25" s="56" customFormat="1" x14ac:dyDescent="0.25">
      <c r="B64" s="57" t="s">
        <v>148</v>
      </c>
      <c r="D64" s="56" t="s">
        <v>149</v>
      </c>
    </row>
    <row r="65" spans="2:26" s="26" customFormat="1" x14ac:dyDescent="0.25"/>
    <row r="66" spans="2:26" s="26" customFormat="1" ht="16.5" customHeight="1" x14ac:dyDescent="0.3">
      <c r="B66" s="46" t="s">
        <v>150</v>
      </c>
      <c r="C66" s="46" t="s">
        <v>114</v>
      </c>
      <c r="D66" s="46" t="s">
        <v>115</v>
      </c>
      <c r="E66" s="46" t="s">
        <v>116</v>
      </c>
      <c r="F66" s="46" t="s">
        <v>117</v>
      </c>
      <c r="G66" s="46" t="s">
        <v>118</v>
      </c>
      <c r="H66" s="46" t="s">
        <v>151</v>
      </c>
      <c r="I66" s="46" t="s">
        <v>152</v>
      </c>
      <c r="J66" s="46" t="s">
        <v>127</v>
      </c>
      <c r="K66" s="46" t="s">
        <v>128</v>
      </c>
      <c r="L66" s="46" t="s">
        <v>129</v>
      </c>
      <c r="M66" s="46" t="s">
        <v>130</v>
      </c>
      <c r="N66" s="46" t="s">
        <v>131</v>
      </c>
      <c r="O66" s="46" t="s">
        <v>132</v>
      </c>
      <c r="P66" s="46" t="s">
        <v>133</v>
      </c>
      <c r="Q66" s="46" t="s">
        <v>134</v>
      </c>
      <c r="R66" s="46" t="s">
        <v>135</v>
      </c>
      <c r="S66" s="46" t="s">
        <v>136</v>
      </c>
      <c r="T66" s="46" t="s">
        <v>137</v>
      </c>
      <c r="U66" s="46" t="s">
        <v>138</v>
      </c>
      <c r="V66" s="46" t="s">
        <v>139</v>
      </c>
      <c r="W66" s="46" t="s">
        <v>140</v>
      </c>
      <c r="X66" s="46" t="s">
        <v>141</v>
      </c>
      <c r="Y66" s="46" t="s">
        <v>142</v>
      </c>
      <c r="Z66" s="46" t="s">
        <v>153</v>
      </c>
    </row>
    <row r="67" spans="2:26" s="26" customFormat="1" hidden="1" x14ac:dyDescent="0.25">
      <c r="B67" s="11"/>
      <c r="C67" s="36"/>
      <c r="D67" s="11"/>
      <c r="E67" s="11"/>
      <c r="F67" s="11"/>
      <c r="G67" s="11"/>
      <c r="H67" s="35"/>
      <c r="I67" s="35"/>
      <c r="J67" s="35"/>
      <c r="K67" s="35"/>
      <c r="L67" s="35"/>
      <c r="M67" s="35"/>
      <c r="N67" s="35"/>
      <c r="O67" s="35"/>
      <c r="P67" s="45"/>
      <c r="Q67" s="45"/>
      <c r="R67" s="35"/>
      <c r="S67" s="35"/>
      <c r="T67" s="35"/>
      <c r="U67" s="35"/>
      <c r="V67" s="11"/>
      <c r="W67" s="11">
        <v>1666666.666666667</v>
      </c>
      <c r="X67" s="11">
        <v>7000000</v>
      </c>
      <c r="Y67" s="11">
        <v>20000000</v>
      </c>
      <c r="Z67" s="35"/>
    </row>
    <row r="68" spans="2:26" s="26" customFormat="1" hidden="1" x14ac:dyDescent="0.25">
      <c r="B68" s="11"/>
      <c r="C68" s="37"/>
      <c r="D68" s="11"/>
      <c r="E68" s="11"/>
      <c r="F68" s="11"/>
      <c r="G68" s="11"/>
      <c r="H68" s="35"/>
      <c r="I68" s="35"/>
      <c r="J68" s="35"/>
      <c r="K68" s="35"/>
      <c r="L68" s="35"/>
      <c r="M68" s="35"/>
      <c r="N68" s="35"/>
      <c r="O68" s="35"/>
      <c r="P68" s="35"/>
      <c r="Q68" s="35"/>
      <c r="R68" s="35"/>
      <c r="S68" s="35"/>
      <c r="T68" s="35"/>
      <c r="U68" s="35"/>
      <c r="V68" s="11"/>
      <c r="W68" s="11" t="s">
        <v>101</v>
      </c>
      <c r="X68" s="11" t="s">
        <v>101</v>
      </c>
      <c r="Y68" s="11" t="s">
        <v>101</v>
      </c>
      <c r="Z68" s="35"/>
    </row>
    <row r="69" spans="2:26" s="26" customFormat="1" hidden="1" x14ac:dyDescent="0.25">
      <c r="B69" s="11"/>
      <c r="C69" s="37"/>
      <c r="D69" s="11"/>
      <c r="E69" s="11"/>
      <c r="F69" s="11"/>
      <c r="G69" s="11"/>
      <c r="H69" s="35"/>
      <c r="I69" s="35"/>
      <c r="J69" s="35"/>
      <c r="K69" s="35"/>
      <c r="L69" s="35"/>
      <c r="M69" s="35"/>
      <c r="N69" s="35"/>
      <c r="O69" s="35"/>
      <c r="P69" s="35"/>
      <c r="Q69" s="35"/>
      <c r="R69" s="35"/>
      <c r="S69" s="35"/>
      <c r="T69" s="35"/>
      <c r="U69" s="35"/>
      <c r="V69" s="11"/>
      <c r="W69" s="11" t="s">
        <v>101</v>
      </c>
      <c r="X69" s="11" t="s">
        <v>101</v>
      </c>
      <c r="Y69" s="11" t="s">
        <v>101</v>
      </c>
      <c r="Z69" s="35"/>
    </row>
    <row r="70" spans="2:26" s="26" customFormat="1" hidden="1" outlineLevel="1" x14ac:dyDescent="0.25">
      <c r="B70" s="11"/>
      <c r="C70" s="37"/>
      <c r="D70" s="11"/>
      <c r="E70" s="11"/>
      <c r="F70" s="11"/>
      <c r="G70" s="11"/>
      <c r="H70" s="35"/>
      <c r="I70" s="35"/>
      <c r="J70" s="35"/>
      <c r="K70" s="35"/>
      <c r="L70" s="35"/>
      <c r="M70" s="35"/>
      <c r="N70" s="35"/>
      <c r="O70" s="35"/>
      <c r="P70" s="45"/>
      <c r="Q70" s="45"/>
      <c r="R70" s="35"/>
      <c r="S70" s="35"/>
      <c r="T70" s="35"/>
      <c r="U70" s="35"/>
      <c r="V70" s="11"/>
      <c r="W70" s="11">
        <v>44999.999999999993</v>
      </c>
      <c r="X70" s="11">
        <v>6000000</v>
      </c>
      <c r="Y70" s="11" t="s">
        <v>101</v>
      </c>
      <c r="Z70" s="35"/>
    </row>
    <row r="71" spans="2:26" s="26" customFormat="1" hidden="1" outlineLevel="1" x14ac:dyDescent="0.25">
      <c r="B71" s="11"/>
      <c r="C71" s="37"/>
      <c r="D71" s="11"/>
      <c r="E71" s="11"/>
      <c r="F71" s="11"/>
      <c r="G71" s="11"/>
      <c r="H71" s="35"/>
      <c r="I71" s="35"/>
      <c r="J71" s="35"/>
      <c r="K71" s="35"/>
      <c r="L71" s="35"/>
      <c r="M71" s="35"/>
      <c r="N71" s="35"/>
      <c r="O71" s="35"/>
      <c r="P71" s="35"/>
      <c r="Q71" s="35"/>
      <c r="R71" s="35"/>
      <c r="S71" s="35"/>
      <c r="T71" s="35"/>
      <c r="U71" s="35"/>
      <c r="V71" s="11"/>
      <c r="W71" s="11" t="s">
        <v>101</v>
      </c>
      <c r="X71" s="11" t="s">
        <v>101</v>
      </c>
      <c r="Y71" s="11" t="s">
        <v>101</v>
      </c>
      <c r="Z71" s="35"/>
    </row>
    <row r="72" spans="2:26" s="26" customFormat="1" hidden="1" outlineLevel="1" x14ac:dyDescent="0.25">
      <c r="B72" s="11"/>
      <c r="C72" s="37"/>
      <c r="D72" s="11"/>
      <c r="E72" s="11"/>
      <c r="F72" s="11"/>
      <c r="G72" s="11"/>
      <c r="H72" s="35"/>
      <c r="I72" s="35"/>
      <c r="J72" s="35"/>
      <c r="K72" s="35"/>
      <c r="L72" s="35"/>
      <c r="M72" s="35"/>
      <c r="N72" s="35"/>
      <c r="O72" s="35"/>
      <c r="P72" s="35"/>
      <c r="Q72" s="35"/>
      <c r="R72" s="35"/>
      <c r="S72" s="35"/>
      <c r="T72" s="35"/>
      <c r="U72" s="35"/>
      <c r="V72" s="11"/>
      <c r="W72" s="11" t="s">
        <v>101</v>
      </c>
      <c r="X72" s="11" t="s">
        <v>101</v>
      </c>
      <c r="Y72" s="11" t="s">
        <v>101</v>
      </c>
      <c r="Z72" s="35"/>
    </row>
    <row r="73" spans="2:26" s="26" customFormat="1" hidden="1" outlineLevel="1" x14ac:dyDescent="0.25">
      <c r="B73" s="11"/>
      <c r="C73" s="37"/>
      <c r="D73" s="11"/>
      <c r="E73" s="11"/>
      <c r="F73" s="11"/>
      <c r="G73" s="11"/>
      <c r="H73" s="35"/>
      <c r="I73" s="35"/>
      <c r="J73" s="35"/>
      <c r="K73" s="35"/>
      <c r="L73" s="35"/>
      <c r="M73" s="35"/>
      <c r="N73" s="35"/>
      <c r="O73" s="35"/>
      <c r="P73" s="35"/>
      <c r="Q73" s="35"/>
      <c r="R73" s="35"/>
      <c r="S73" s="35"/>
      <c r="T73" s="35"/>
      <c r="U73" s="35"/>
      <c r="V73" s="11"/>
      <c r="W73" s="11"/>
      <c r="X73" s="11"/>
      <c r="Y73" s="11"/>
      <c r="Z73" s="35"/>
    </row>
    <row r="74" spans="2:26" s="26" customFormat="1" hidden="1" outlineLevel="1" x14ac:dyDescent="0.25">
      <c r="B74" s="11"/>
      <c r="C74" s="37"/>
      <c r="D74" s="11"/>
      <c r="E74" s="11"/>
      <c r="F74" s="11"/>
      <c r="G74" s="11"/>
      <c r="H74" s="35"/>
      <c r="I74" s="35"/>
      <c r="J74" s="35"/>
      <c r="K74" s="35"/>
      <c r="L74" s="35"/>
      <c r="M74" s="35"/>
      <c r="N74" s="35"/>
      <c r="O74" s="35"/>
      <c r="P74" s="35"/>
      <c r="Q74" s="35"/>
      <c r="R74" s="35"/>
      <c r="S74" s="35"/>
      <c r="T74" s="35"/>
      <c r="U74" s="35"/>
      <c r="V74" s="11"/>
      <c r="W74" s="11"/>
      <c r="X74" s="11"/>
      <c r="Y74" s="11"/>
      <c r="Z74" s="35"/>
    </row>
    <row r="75" spans="2:26" s="26" customFormat="1" hidden="1" outlineLevel="1" x14ac:dyDescent="0.25">
      <c r="B75" s="11"/>
      <c r="C75" s="37"/>
      <c r="D75" s="11"/>
      <c r="E75" s="11"/>
      <c r="F75" s="11"/>
      <c r="G75" s="11"/>
      <c r="H75" s="35"/>
      <c r="I75" s="35"/>
      <c r="J75" s="35"/>
      <c r="K75" s="35"/>
      <c r="L75" s="35"/>
      <c r="M75" s="35"/>
      <c r="N75" s="35"/>
      <c r="O75" s="35"/>
      <c r="P75" s="35"/>
      <c r="Q75" s="35"/>
      <c r="R75" s="35"/>
      <c r="S75" s="35"/>
      <c r="T75" s="35"/>
      <c r="U75" s="35"/>
      <c r="V75" s="11"/>
      <c r="W75" s="11"/>
      <c r="X75" s="11"/>
      <c r="Y75" s="11"/>
      <c r="Z75" s="35"/>
    </row>
    <row r="76" spans="2:26" s="26" customFormat="1" hidden="1" outlineLevel="1" x14ac:dyDescent="0.25">
      <c r="B76" s="11"/>
      <c r="C76" s="37"/>
      <c r="D76" s="11"/>
      <c r="E76" s="11"/>
      <c r="F76" s="11"/>
      <c r="G76" s="11"/>
      <c r="H76" s="35"/>
      <c r="I76" s="35"/>
      <c r="J76" s="35"/>
      <c r="K76" s="35"/>
      <c r="L76" s="35"/>
      <c r="M76" s="35"/>
      <c r="N76" s="35"/>
      <c r="O76" s="35"/>
      <c r="P76" s="35"/>
      <c r="Q76" s="35"/>
      <c r="R76" s="35"/>
      <c r="S76" s="35"/>
      <c r="T76" s="35"/>
      <c r="U76" s="35"/>
      <c r="V76" s="11"/>
      <c r="W76" s="11"/>
      <c r="X76" s="11"/>
      <c r="Y76" s="11"/>
      <c r="Z76" s="35"/>
    </row>
    <row r="77" spans="2:26" s="26" customFormat="1" hidden="1" outlineLevel="1" x14ac:dyDescent="0.25">
      <c r="B77" s="11"/>
      <c r="C77" s="37"/>
      <c r="D77" s="11"/>
      <c r="E77" s="11"/>
      <c r="F77" s="11"/>
      <c r="G77" s="11"/>
      <c r="H77" s="35"/>
      <c r="I77" s="35"/>
      <c r="J77" s="35"/>
      <c r="K77" s="35"/>
      <c r="L77" s="35"/>
      <c r="M77" s="35"/>
      <c r="N77" s="35"/>
      <c r="O77" s="35"/>
      <c r="P77" s="35"/>
      <c r="Q77" s="35"/>
      <c r="R77" s="35"/>
      <c r="S77" s="35"/>
      <c r="T77" s="35"/>
      <c r="U77" s="35"/>
      <c r="V77" s="11"/>
      <c r="W77" s="11"/>
      <c r="X77" s="11"/>
      <c r="Y77" s="11"/>
      <c r="Z77" s="35"/>
    </row>
    <row r="78" spans="2:26" s="26" customFormat="1" hidden="1" outlineLevel="1" x14ac:dyDescent="0.25">
      <c r="B78" s="11"/>
      <c r="C78" s="37"/>
      <c r="D78" s="11"/>
      <c r="E78" s="11"/>
      <c r="F78" s="11"/>
      <c r="G78" s="11"/>
      <c r="H78" s="35"/>
      <c r="I78" s="35"/>
      <c r="J78" s="35"/>
      <c r="K78" s="35"/>
      <c r="L78" s="35"/>
      <c r="M78" s="35"/>
      <c r="N78" s="35"/>
      <c r="O78" s="35"/>
      <c r="P78" s="35"/>
      <c r="Q78" s="35"/>
      <c r="R78" s="35"/>
      <c r="S78" s="35"/>
      <c r="T78" s="35"/>
      <c r="U78" s="35"/>
      <c r="V78" s="11"/>
      <c r="W78" s="11"/>
      <c r="X78" s="11"/>
      <c r="Y78" s="11"/>
      <c r="Z78" s="35"/>
    </row>
    <row r="79" spans="2:26" s="26" customFormat="1" hidden="1" outlineLevel="1" x14ac:dyDescent="0.25">
      <c r="B79" s="11"/>
      <c r="C79" s="37"/>
      <c r="D79" s="11"/>
      <c r="E79" s="11"/>
      <c r="F79" s="11"/>
      <c r="G79" s="11"/>
      <c r="H79" s="35"/>
      <c r="I79" s="35"/>
      <c r="J79" s="35"/>
      <c r="K79" s="35"/>
      <c r="L79" s="35"/>
      <c r="M79" s="35"/>
      <c r="N79" s="35"/>
      <c r="O79" s="35"/>
      <c r="P79" s="35"/>
      <c r="Q79" s="35"/>
      <c r="R79" s="35"/>
      <c r="S79" s="35"/>
      <c r="T79" s="35"/>
      <c r="U79" s="35"/>
      <c r="V79" s="11"/>
      <c r="W79" s="11"/>
      <c r="X79" s="11"/>
      <c r="Y79" s="11"/>
      <c r="Z79" s="35"/>
    </row>
    <row r="80" spans="2:26" s="26" customFormat="1" hidden="1" outlineLevel="1" x14ac:dyDescent="0.25">
      <c r="B80" s="11"/>
      <c r="C80" s="37"/>
      <c r="D80" s="11"/>
      <c r="E80" s="11"/>
      <c r="F80" s="11"/>
      <c r="G80" s="11"/>
      <c r="H80" s="35"/>
      <c r="I80" s="35"/>
      <c r="J80" s="35"/>
      <c r="K80" s="35"/>
      <c r="L80" s="35"/>
      <c r="M80" s="35"/>
      <c r="N80" s="35"/>
      <c r="O80" s="35"/>
      <c r="P80" s="35"/>
      <c r="Q80" s="35"/>
      <c r="R80" s="35"/>
      <c r="S80" s="35"/>
      <c r="T80" s="35"/>
      <c r="U80" s="35"/>
      <c r="V80" s="11"/>
      <c r="W80" s="11"/>
      <c r="X80" s="11"/>
      <c r="Y80" s="11"/>
      <c r="Z80" s="35"/>
    </row>
    <row r="81" spans="2:26" s="26" customFormat="1" hidden="1" outlineLevel="1" x14ac:dyDescent="0.25">
      <c r="B81" s="11"/>
      <c r="C81" s="37"/>
      <c r="D81" s="11"/>
      <c r="E81" s="11"/>
      <c r="F81" s="11"/>
      <c r="G81" s="11"/>
      <c r="H81" s="35"/>
      <c r="I81" s="35"/>
      <c r="J81" s="35"/>
      <c r="K81" s="35"/>
      <c r="L81" s="35"/>
      <c r="M81" s="35"/>
      <c r="N81" s="35"/>
      <c r="O81" s="35"/>
      <c r="P81" s="35"/>
      <c r="Q81" s="35"/>
      <c r="R81" s="35"/>
      <c r="S81" s="35"/>
      <c r="T81" s="35"/>
      <c r="U81" s="35"/>
      <c r="V81" s="11"/>
      <c r="W81" s="11"/>
      <c r="X81" s="11"/>
      <c r="Y81" s="11"/>
      <c r="Z81" s="35"/>
    </row>
    <row r="82" spans="2:26" s="26" customFormat="1" hidden="1" outlineLevel="1" x14ac:dyDescent="0.25">
      <c r="B82" s="11"/>
      <c r="C82" s="37"/>
      <c r="D82" s="11"/>
      <c r="E82" s="11"/>
      <c r="F82" s="11"/>
      <c r="G82" s="11"/>
      <c r="H82" s="35"/>
      <c r="I82" s="35"/>
      <c r="J82" s="35"/>
      <c r="K82" s="35"/>
      <c r="L82" s="35"/>
      <c r="M82" s="35"/>
      <c r="N82" s="35"/>
      <c r="O82" s="35"/>
      <c r="P82" s="35"/>
      <c r="Q82" s="35"/>
      <c r="R82" s="35"/>
      <c r="S82" s="35"/>
      <c r="T82" s="35"/>
      <c r="U82" s="35"/>
      <c r="V82" s="11"/>
      <c r="W82" s="11"/>
      <c r="X82" s="11"/>
      <c r="Y82" s="11"/>
      <c r="Z82" s="35"/>
    </row>
    <row r="83" spans="2:26" s="26" customFormat="1" hidden="1" outlineLevel="1" x14ac:dyDescent="0.25">
      <c r="B83" s="11"/>
      <c r="C83" s="37"/>
      <c r="D83" s="11"/>
      <c r="E83" s="11"/>
      <c r="F83" s="11"/>
      <c r="G83" s="11"/>
      <c r="H83" s="35"/>
      <c r="I83" s="35"/>
      <c r="J83" s="35"/>
      <c r="K83" s="35"/>
      <c r="L83" s="35"/>
      <c r="M83" s="35"/>
      <c r="N83" s="35"/>
      <c r="O83" s="35"/>
      <c r="P83" s="35"/>
      <c r="Q83" s="35"/>
      <c r="R83" s="35"/>
      <c r="S83" s="35"/>
      <c r="T83" s="35"/>
      <c r="U83" s="35"/>
      <c r="V83" s="11"/>
      <c r="W83" s="11"/>
      <c r="X83" s="11"/>
      <c r="Y83" s="11"/>
      <c r="Z83" s="35"/>
    </row>
    <row r="84" spans="2:26" s="26" customFormat="1" hidden="1" outlineLevel="1" x14ac:dyDescent="0.25">
      <c r="B84" s="11"/>
      <c r="C84" s="37"/>
      <c r="D84" s="11"/>
      <c r="E84" s="11"/>
      <c r="F84" s="11"/>
      <c r="G84" s="11"/>
      <c r="H84" s="35"/>
      <c r="I84" s="35"/>
      <c r="J84" s="35"/>
      <c r="K84" s="35"/>
      <c r="L84" s="35"/>
      <c r="M84" s="35"/>
      <c r="N84" s="35"/>
      <c r="O84" s="35"/>
      <c r="P84" s="35"/>
      <c r="Q84" s="35"/>
      <c r="R84" s="35"/>
      <c r="S84" s="35"/>
      <c r="T84" s="35"/>
      <c r="U84" s="35"/>
      <c r="V84" s="11"/>
      <c r="W84" s="11"/>
      <c r="X84" s="11"/>
      <c r="Y84" s="11"/>
      <c r="Z84" s="35"/>
    </row>
    <row r="85" spans="2:26" s="26" customFormat="1" hidden="1" outlineLevel="1" x14ac:dyDescent="0.25">
      <c r="B85" s="11"/>
      <c r="C85" s="37"/>
      <c r="D85" s="11"/>
      <c r="E85" s="11"/>
      <c r="F85" s="11"/>
      <c r="G85" s="11"/>
      <c r="H85" s="35"/>
      <c r="I85" s="35"/>
      <c r="J85" s="35"/>
      <c r="K85" s="35"/>
      <c r="L85" s="35"/>
      <c r="M85" s="35"/>
      <c r="N85" s="35"/>
      <c r="O85" s="35"/>
      <c r="P85" s="35"/>
      <c r="Q85" s="35"/>
      <c r="R85" s="35"/>
      <c r="S85" s="35"/>
      <c r="T85" s="35"/>
      <c r="U85" s="35"/>
      <c r="V85" s="11"/>
      <c r="W85" s="11"/>
      <c r="X85" s="11"/>
      <c r="Y85" s="11"/>
      <c r="Z85" s="35"/>
    </row>
    <row r="86" spans="2:26" s="26" customFormat="1" hidden="1" outlineLevel="1" x14ac:dyDescent="0.25">
      <c r="B86" s="11"/>
      <c r="C86" s="37"/>
      <c r="D86" s="11"/>
      <c r="E86" s="11"/>
      <c r="F86" s="11"/>
      <c r="G86" s="11"/>
      <c r="H86" s="35"/>
      <c r="I86" s="35"/>
      <c r="J86" s="35"/>
      <c r="K86" s="35"/>
      <c r="L86" s="35"/>
      <c r="M86" s="35"/>
      <c r="N86" s="35"/>
      <c r="O86" s="35"/>
      <c r="P86" s="35"/>
      <c r="Q86" s="35"/>
      <c r="R86" s="35"/>
      <c r="S86" s="35"/>
      <c r="T86" s="35"/>
      <c r="U86" s="35"/>
      <c r="V86" s="11"/>
      <c r="W86" s="11"/>
      <c r="X86" s="11"/>
      <c r="Y86" s="11"/>
      <c r="Z86" s="35"/>
    </row>
    <row r="87" spans="2:26" s="26" customFormat="1" collapsed="1" x14ac:dyDescent="0.25"/>
    <row r="88" spans="2:26" s="58" customFormat="1" x14ac:dyDescent="0.25">
      <c r="B88" s="58" t="s">
        <v>156</v>
      </c>
    </row>
    <row r="89" spans="2:26" s="26" customFormat="1" x14ac:dyDescent="0.25"/>
    <row r="90" spans="2:26" s="26" customFormat="1" ht="16.5" customHeight="1" x14ac:dyDescent="0.3">
      <c r="B90" s="46" t="s">
        <v>157</v>
      </c>
      <c r="C90" s="46" t="s">
        <v>114</v>
      </c>
      <c r="D90" s="46" t="s">
        <v>115</v>
      </c>
      <c r="E90" s="46" t="s">
        <v>116</v>
      </c>
      <c r="F90" s="46" t="s">
        <v>117</v>
      </c>
      <c r="G90" s="46" t="s">
        <v>118</v>
      </c>
      <c r="H90" s="46" t="s">
        <v>158</v>
      </c>
      <c r="I90" s="46" t="s">
        <v>159</v>
      </c>
      <c r="J90" s="46" t="s">
        <v>160</v>
      </c>
      <c r="K90" s="46" t="s">
        <v>161</v>
      </c>
      <c r="L90" s="46" t="s">
        <v>162</v>
      </c>
      <c r="M90" s="46" t="s">
        <v>163</v>
      </c>
      <c r="N90" s="46" t="s">
        <v>164</v>
      </c>
      <c r="O90" s="46" t="s">
        <v>165</v>
      </c>
    </row>
    <row r="91" spans="2:26" s="26" customFormat="1" hidden="1" x14ac:dyDescent="0.25">
      <c r="B91" s="37"/>
      <c r="C91" s="37"/>
      <c r="D91" s="11"/>
      <c r="E91" s="11"/>
      <c r="F91" s="11"/>
      <c r="G91" s="11"/>
      <c r="H91" s="35"/>
      <c r="I91" s="35"/>
      <c r="J91" s="35"/>
      <c r="K91" s="35"/>
      <c r="L91" s="35"/>
      <c r="M91" s="35"/>
      <c r="N91" s="35"/>
      <c r="O91" s="11"/>
    </row>
    <row r="92" spans="2:26" s="26" customFormat="1" hidden="1" x14ac:dyDescent="0.25">
      <c r="B92" s="37"/>
      <c r="C92" s="37"/>
      <c r="D92" s="11"/>
      <c r="E92" s="11"/>
      <c r="F92" s="11"/>
      <c r="G92" s="11"/>
      <c r="H92" s="35"/>
      <c r="I92" s="35"/>
      <c r="J92" s="35"/>
      <c r="K92" s="35"/>
      <c r="L92" s="35"/>
      <c r="M92" s="35"/>
      <c r="N92" s="35"/>
      <c r="O92" s="11"/>
    </row>
    <row r="93" spans="2:26" s="26" customFormat="1" hidden="1" x14ac:dyDescent="0.25">
      <c r="B93" s="37"/>
      <c r="C93" s="37"/>
      <c r="D93" s="11"/>
      <c r="E93" s="11"/>
      <c r="F93" s="11"/>
      <c r="G93" s="11"/>
      <c r="H93" s="35"/>
      <c r="I93" s="35"/>
      <c r="J93" s="35"/>
      <c r="K93" s="35"/>
      <c r="L93" s="35"/>
      <c r="M93" s="35"/>
      <c r="N93" s="35"/>
      <c r="O93" s="11"/>
    </row>
    <row r="94" spans="2:26" s="26" customFormat="1" hidden="1" outlineLevel="1" x14ac:dyDescent="0.25">
      <c r="B94" s="37"/>
      <c r="C94" s="37"/>
      <c r="D94" s="11"/>
      <c r="E94" s="11"/>
      <c r="F94" s="11"/>
      <c r="G94" s="11"/>
      <c r="H94" s="35"/>
      <c r="I94" s="35"/>
      <c r="J94" s="35"/>
      <c r="K94" s="35"/>
      <c r="L94" s="35"/>
      <c r="M94" s="35"/>
      <c r="N94" s="35"/>
      <c r="O94" s="11"/>
    </row>
    <row r="95" spans="2:26" s="26" customFormat="1" hidden="1" outlineLevel="1" x14ac:dyDescent="0.25">
      <c r="B95" s="37"/>
      <c r="C95" s="37"/>
      <c r="D95" s="11"/>
      <c r="E95" s="11"/>
      <c r="F95" s="11"/>
      <c r="G95" s="11"/>
      <c r="H95" s="35"/>
      <c r="I95" s="35"/>
      <c r="J95" s="35"/>
      <c r="K95" s="35"/>
      <c r="L95" s="35"/>
      <c r="M95" s="35"/>
      <c r="N95" s="35"/>
      <c r="O95" s="11"/>
    </row>
    <row r="96" spans="2:26" s="26" customFormat="1" hidden="1" outlineLevel="1" x14ac:dyDescent="0.25">
      <c r="B96" s="37"/>
      <c r="C96" s="37"/>
      <c r="D96" s="11"/>
      <c r="E96" s="11"/>
      <c r="F96" s="11"/>
      <c r="G96" s="11"/>
      <c r="H96" s="35"/>
      <c r="I96" s="35"/>
      <c r="J96" s="35"/>
      <c r="K96" s="35"/>
      <c r="L96" s="35"/>
      <c r="M96" s="35"/>
      <c r="N96" s="35"/>
      <c r="O96" s="11"/>
    </row>
    <row r="97" spans="2:15" s="26" customFormat="1" hidden="1" outlineLevel="1" x14ac:dyDescent="0.25">
      <c r="B97" s="37"/>
      <c r="C97" s="37"/>
      <c r="D97" s="11"/>
      <c r="E97" s="11"/>
      <c r="F97" s="11"/>
      <c r="G97" s="11"/>
      <c r="H97" s="35"/>
      <c r="I97" s="35"/>
      <c r="J97" s="35"/>
      <c r="K97" s="35"/>
      <c r="L97" s="35"/>
      <c r="M97" s="35"/>
      <c r="N97" s="35"/>
      <c r="O97" s="11"/>
    </row>
    <row r="98" spans="2:15" s="26" customFormat="1" hidden="1" outlineLevel="1" x14ac:dyDescent="0.25">
      <c r="B98" s="37"/>
      <c r="C98" s="37"/>
      <c r="D98" s="11"/>
      <c r="E98" s="11"/>
      <c r="F98" s="11"/>
      <c r="G98" s="11"/>
      <c r="H98" s="35"/>
      <c r="I98" s="35"/>
      <c r="J98" s="35"/>
      <c r="K98" s="35"/>
      <c r="L98" s="35"/>
      <c r="M98" s="35"/>
      <c r="N98" s="35"/>
      <c r="O98" s="11"/>
    </row>
    <row r="99" spans="2:15" s="26" customFormat="1" hidden="1" outlineLevel="1" x14ac:dyDescent="0.25">
      <c r="B99" s="37"/>
      <c r="C99" s="37"/>
      <c r="D99" s="11"/>
      <c r="E99" s="11"/>
      <c r="F99" s="11"/>
      <c r="G99" s="11"/>
      <c r="H99" s="35"/>
      <c r="I99" s="35"/>
      <c r="J99" s="35"/>
      <c r="K99" s="35"/>
      <c r="L99" s="35"/>
      <c r="M99" s="35"/>
      <c r="N99" s="35"/>
      <c r="O99" s="11"/>
    </row>
    <row r="100" spans="2:15" s="26" customFormat="1" hidden="1" outlineLevel="1" x14ac:dyDescent="0.25">
      <c r="B100" s="37"/>
      <c r="C100" s="37"/>
      <c r="D100" s="11"/>
      <c r="E100" s="11"/>
      <c r="F100" s="11"/>
      <c r="G100" s="11"/>
      <c r="H100" s="35"/>
      <c r="I100" s="35"/>
      <c r="J100" s="35"/>
      <c r="K100" s="35"/>
      <c r="L100" s="35"/>
      <c r="M100" s="35"/>
      <c r="N100" s="35"/>
      <c r="O100" s="11"/>
    </row>
    <row r="101" spans="2:15" s="26" customFormat="1" hidden="1" outlineLevel="1" x14ac:dyDescent="0.25">
      <c r="B101" s="37"/>
      <c r="C101" s="37"/>
      <c r="D101" s="11"/>
      <c r="E101" s="11"/>
      <c r="F101" s="11"/>
      <c r="G101" s="11"/>
      <c r="H101" s="35"/>
      <c r="I101" s="35"/>
      <c r="J101" s="35"/>
      <c r="K101" s="35"/>
      <c r="L101" s="35"/>
      <c r="M101" s="35"/>
      <c r="N101" s="35"/>
      <c r="O101" s="11"/>
    </row>
    <row r="102" spans="2:15" s="26" customFormat="1" hidden="1" outlineLevel="1" x14ac:dyDescent="0.25">
      <c r="B102" s="37"/>
      <c r="C102" s="37"/>
      <c r="D102" s="11"/>
      <c r="E102" s="11"/>
      <c r="F102" s="11"/>
      <c r="G102" s="11"/>
      <c r="H102" s="35"/>
      <c r="I102" s="35"/>
      <c r="J102" s="35"/>
      <c r="K102" s="35"/>
      <c r="L102" s="35"/>
      <c r="M102" s="35"/>
      <c r="N102" s="35"/>
      <c r="O102" s="11"/>
    </row>
    <row r="103" spans="2:15" s="26" customFormat="1" hidden="1" outlineLevel="1" x14ac:dyDescent="0.25">
      <c r="B103" s="37"/>
      <c r="C103" s="37"/>
      <c r="D103" s="11"/>
      <c r="E103" s="11"/>
      <c r="F103" s="11"/>
      <c r="G103" s="11"/>
      <c r="H103" s="35"/>
      <c r="I103" s="35"/>
      <c r="J103" s="35"/>
      <c r="K103" s="35"/>
      <c r="L103" s="35"/>
      <c r="M103" s="35"/>
      <c r="N103" s="35"/>
      <c r="O103" s="11"/>
    </row>
    <row r="104" spans="2:15" s="26" customFormat="1" hidden="1" outlineLevel="1" x14ac:dyDescent="0.25">
      <c r="B104" s="37"/>
      <c r="C104" s="37"/>
      <c r="D104" s="11"/>
      <c r="E104" s="11"/>
      <c r="F104" s="11"/>
      <c r="G104" s="11"/>
      <c r="H104" s="35"/>
      <c r="I104" s="35"/>
      <c r="J104" s="35"/>
      <c r="K104" s="35"/>
      <c r="L104" s="35"/>
      <c r="M104" s="35"/>
      <c r="N104" s="35"/>
      <c r="O104" s="11"/>
    </row>
    <row r="105" spans="2:15" s="26" customFormat="1" hidden="1" outlineLevel="1" x14ac:dyDescent="0.25">
      <c r="B105" s="37"/>
      <c r="C105" s="37"/>
      <c r="D105" s="11"/>
      <c r="E105" s="11"/>
      <c r="F105" s="11"/>
      <c r="G105" s="11"/>
      <c r="H105" s="35"/>
      <c r="I105" s="35"/>
      <c r="J105" s="35"/>
      <c r="K105" s="35"/>
      <c r="L105" s="35"/>
      <c r="M105" s="35"/>
      <c r="N105" s="35"/>
      <c r="O105" s="11"/>
    </row>
    <row r="106" spans="2:15" s="26" customFormat="1" hidden="1" outlineLevel="1" x14ac:dyDescent="0.25">
      <c r="B106" s="37"/>
      <c r="C106" s="37"/>
      <c r="D106" s="11"/>
      <c r="E106" s="11"/>
      <c r="F106" s="11"/>
      <c r="G106" s="11"/>
      <c r="H106" s="35"/>
      <c r="I106" s="35"/>
      <c r="J106" s="35"/>
      <c r="K106" s="35"/>
      <c r="L106" s="35"/>
      <c r="M106" s="35"/>
      <c r="N106" s="35"/>
      <c r="O106" s="11"/>
    </row>
    <row r="107" spans="2:15" s="26" customFormat="1" hidden="1" outlineLevel="1" x14ac:dyDescent="0.25">
      <c r="B107" s="37"/>
      <c r="C107" s="37"/>
      <c r="D107" s="11"/>
      <c r="E107" s="11"/>
      <c r="F107" s="11"/>
      <c r="G107" s="11"/>
      <c r="H107" s="35"/>
      <c r="I107" s="35"/>
      <c r="J107" s="35"/>
      <c r="K107" s="35"/>
      <c r="L107" s="35"/>
      <c r="M107" s="35"/>
      <c r="N107" s="35"/>
      <c r="O107" s="11"/>
    </row>
    <row r="108" spans="2:15" s="26" customFormat="1" hidden="1" outlineLevel="1" x14ac:dyDescent="0.25">
      <c r="B108" s="37"/>
      <c r="C108" s="37"/>
      <c r="D108" s="11"/>
      <c r="E108" s="11"/>
      <c r="F108" s="11"/>
      <c r="G108" s="11"/>
      <c r="H108" s="35"/>
      <c r="I108" s="35"/>
      <c r="J108" s="35"/>
      <c r="K108" s="35"/>
      <c r="L108" s="35"/>
      <c r="M108" s="35"/>
      <c r="N108" s="35"/>
      <c r="O108" s="11"/>
    </row>
    <row r="109" spans="2:15" s="26" customFormat="1" hidden="1" outlineLevel="1" x14ac:dyDescent="0.25">
      <c r="B109" s="37"/>
      <c r="C109" s="37"/>
      <c r="D109" s="11"/>
      <c r="E109" s="11"/>
      <c r="F109" s="11"/>
      <c r="G109" s="11"/>
      <c r="H109" s="35"/>
      <c r="I109" s="35"/>
      <c r="J109" s="35"/>
      <c r="K109" s="35"/>
      <c r="L109" s="35"/>
      <c r="M109" s="35"/>
      <c r="N109" s="35"/>
      <c r="O109" s="11"/>
    </row>
    <row r="110" spans="2:15" s="26" customFormat="1" hidden="1" outlineLevel="1" x14ac:dyDescent="0.25">
      <c r="B110" s="37"/>
      <c r="C110" s="37"/>
      <c r="D110" s="11"/>
      <c r="E110" s="11"/>
      <c r="F110" s="11"/>
      <c r="G110" s="11"/>
      <c r="H110" s="35"/>
      <c r="I110" s="35"/>
      <c r="J110" s="35"/>
      <c r="K110" s="35"/>
      <c r="L110" s="35"/>
      <c r="M110" s="35"/>
      <c r="N110" s="35"/>
      <c r="O110" s="11"/>
    </row>
    <row r="111" spans="2:15" s="26" customFormat="1" collapsed="1" x14ac:dyDescent="0.25"/>
    <row r="112" spans="2:15" s="58" customFormat="1" x14ac:dyDescent="0.25">
      <c r="B112" s="58" t="s">
        <v>166</v>
      </c>
    </row>
    <row r="113" spans="2:18" s="26" customFormat="1" x14ac:dyDescent="0.25"/>
    <row r="114" spans="2:18" s="26" customFormat="1" ht="16.5" customHeight="1" x14ac:dyDescent="0.3">
      <c r="B114" s="46" t="s">
        <v>167</v>
      </c>
      <c r="C114" s="46" t="s">
        <v>114</v>
      </c>
      <c r="D114" s="46" t="s">
        <v>115</v>
      </c>
      <c r="E114" s="46" t="s">
        <v>116</v>
      </c>
      <c r="F114" s="46" t="s">
        <v>117</v>
      </c>
      <c r="G114" s="46" t="s">
        <v>118</v>
      </c>
      <c r="H114" s="46" t="s">
        <v>168</v>
      </c>
      <c r="I114" s="46" t="s">
        <v>169</v>
      </c>
      <c r="J114" s="46" t="s">
        <v>160</v>
      </c>
      <c r="K114" s="46" t="s">
        <v>170</v>
      </c>
      <c r="L114" s="46" t="s">
        <v>171</v>
      </c>
      <c r="M114" s="46" t="s">
        <v>172</v>
      </c>
      <c r="N114" s="46" t="s">
        <v>173</v>
      </c>
      <c r="O114" s="46" t="s">
        <v>174</v>
      </c>
      <c r="P114" s="46" t="s">
        <v>175</v>
      </c>
      <c r="Q114" s="46" t="s">
        <v>136</v>
      </c>
      <c r="R114" s="46" t="s">
        <v>176</v>
      </c>
    </row>
    <row r="115" spans="2:18" s="26" customFormat="1" hidden="1" x14ac:dyDescent="0.25">
      <c r="B115" s="37"/>
      <c r="C115" s="37"/>
      <c r="D115" s="11"/>
      <c r="E115" s="11"/>
      <c r="F115" s="11"/>
      <c r="G115" s="11"/>
      <c r="H115" s="35"/>
      <c r="I115" s="35"/>
      <c r="J115" s="35"/>
      <c r="K115" s="35"/>
      <c r="L115" s="35"/>
      <c r="M115" s="35"/>
      <c r="N115" s="35"/>
      <c r="O115" s="35"/>
      <c r="P115" s="35"/>
      <c r="Q115" s="35"/>
      <c r="R115" s="35"/>
    </row>
    <row r="116" spans="2:18" s="26" customFormat="1" hidden="1" x14ac:dyDescent="0.25">
      <c r="B116" s="37"/>
      <c r="C116" s="37"/>
      <c r="D116" s="11"/>
      <c r="E116" s="11"/>
      <c r="F116" s="11"/>
      <c r="G116" s="11"/>
      <c r="H116" s="35"/>
      <c r="I116" s="35"/>
      <c r="J116" s="35"/>
      <c r="K116" s="35"/>
      <c r="L116" s="35"/>
      <c r="M116" s="35"/>
      <c r="N116" s="35"/>
      <c r="O116" s="35"/>
      <c r="P116" s="35"/>
      <c r="Q116" s="35"/>
      <c r="R116" s="35"/>
    </row>
    <row r="117" spans="2:18" s="26" customFormat="1" hidden="1" x14ac:dyDescent="0.25">
      <c r="B117" s="37"/>
      <c r="C117" s="37"/>
      <c r="D117" s="11"/>
      <c r="E117" s="11"/>
      <c r="F117" s="11"/>
      <c r="G117" s="11"/>
      <c r="H117" s="35"/>
      <c r="I117" s="35"/>
      <c r="J117" s="35"/>
      <c r="K117" s="35"/>
      <c r="L117" s="35"/>
      <c r="M117" s="35"/>
      <c r="N117" s="35"/>
      <c r="O117" s="35"/>
      <c r="P117" s="35"/>
      <c r="Q117" s="35"/>
      <c r="R117" s="35"/>
    </row>
    <row r="118" spans="2:18" s="26" customFormat="1" hidden="1" outlineLevel="1" x14ac:dyDescent="0.25">
      <c r="B118" s="37"/>
      <c r="C118" s="37"/>
      <c r="D118" s="11"/>
      <c r="E118" s="11"/>
      <c r="F118" s="11"/>
      <c r="G118" s="11"/>
      <c r="H118" s="35"/>
      <c r="I118" s="35"/>
      <c r="J118" s="35"/>
      <c r="K118" s="35"/>
      <c r="L118" s="35"/>
      <c r="M118" s="35"/>
      <c r="N118" s="35"/>
      <c r="O118" s="35"/>
      <c r="P118" s="35"/>
      <c r="Q118" s="35"/>
      <c r="R118" s="35"/>
    </row>
    <row r="119" spans="2:18" s="26" customFormat="1" hidden="1" outlineLevel="1" x14ac:dyDescent="0.25">
      <c r="B119" s="37"/>
      <c r="C119" s="37"/>
      <c r="D119" s="11"/>
      <c r="E119" s="11"/>
      <c r="F119" s="11"/>
      <c r="G119" s="11"/>
      <c r="H119" s="35"/>
      <c r="I119" s="35"/>
      <c r="J119" s="35"/>
      <c r="K119" s="35"/>
      <c r="L119" s="35"/>
      <c r="M119" s="35"/>
      <c r="N119" s="35"/>
      <c r="O119" s="35"/>
      <c r="P119" s="35"/>
      <c r="Q119" s="35"/>
      <c r="R119" s="35"/>
    </row>
    <row r="120" spans="2:18" s="26" customFormat="1" hidden="1" outlineLevel="1" x14ac:dyDescent="0.25">
      <c r="B120" s="37"/>
      <c r="C120" s="37"/>
      <c r="D120" s="11"/>
      <c r="E120" s="11"/>
      <c r="F120" s="11"/>
      <c r="G120" s="11"/>
      <c r="H120" s="35"/>
      <c r="I120" s="35"/>
      <c r="J120" s="35"/>
      <c r="K120" s="35"/>
      <c r="L120" s="35"/>
      <c r="M120" s="35"/>
      <c r="N120" s="35"/>
      <c r="O120" s="35"/>
      <c r="P120" s="35"/>
      <c r="Q120" s="35"/>
      <c r="R120" s="35"/>
    </row>
    <row r="121" spans="2:18" s="26" customFormat="1" hidden="1" outlineLevel="1" x14ac:dyDescent="0.25">
      <c r="B121" s="37"/>
      <c r="C121" s="37"/>
      <c r="D121" s="11"/>
      <c r="E121" s="11"/>
      <c r="F121" s="11"/>
      <c r="G121" s="11"/>
      <c r="H121" s="35"/>
      <c r="I121" s="35"/>
      <c r="J121" s="35"/>
      <c r="K121" s="35"/>
      <c r="L121" s="35"/>
      <c r="M121" s="35"/>
      <c r="N121" s="35"/>
      <c r="O121" s="35"/>
      <c r="P121" s="35"/>
      <c r="Q121" s="35"/>
      <c r="R121" s="35"/>
    </row>
    <row r="122" spans="2:18" s="26" customFormat="1" hidden="1" outlineLevel="1" x14ac:dyDescent="0.25">
      <c r="B122" s="37"/>
      <c r="C122" s="37"/>
      <c r="D122" s="11"/>
      <c r="E122" s="11"/>
      <c r="F122" s="11"/>
      <c r="G122" s="11"/>
      <c r="H122" s="35"/>
      <c r="I122" s="35"/>
      <c r="J122" s="35"/>
      <c r="K122" s="35"/>
      <c r="L122" s="35"/>
      <c r="M122" s="35"/>
      <c r="N122" s="35"/>
      <c r="O122" s="35"/>
      <c r="P122" s="35"/>
      <c r="Q122" s="35"/>
      <c r="R122" s="35"/>
    </row>
    <row r="123" spans="2:18" s="26" customFormat="1" hidden="1" outlineLevel="1" x14ac:dyDescent="0.25">
      <c r="B123" s="37"/>
      <c r="C123" s="37"/>
      <c r="D123" s="11"/>
      <c r="E123" s="11"/>
      <c r="F123" s="11"/>
      <c r="G123" s="11"/>
      <c r="H123" s="35"/>
      <c r="I123" s="35"/>
      <c r="J123" s="35"/>
      <c r="K123" s="35"/>
      <c r="L123" s="35"/>
      <c r="M123" s="35"/>
      <c r="N123" s="35"/>
      <c r="O123" s="35"/>
      <c r="P123" s="35"/>
      <c r="Q123" s="35"/>
      <c r="R123" s="35"/>
    </row>
    <row r="124" spans="2:18" s="26" customFormat="1" hidden="1" outlineLevel="1" x14ac:dyDescent="0.25">
      <c r="B124" s="37"/>
      <c r="C124" s="37"/>
      <c r="D124" s="11"/>
      <c r="E124" s="11"/>
      <c r="F124" s="11"/>
      <c r="G124" s="11"/>
      <c r="H124" s="35"/>
      <c r="I124" s="35"/>
      <c r="J124" s="35"/>
      <c r="K124" s="35"/>
      <c r="L124" s="35"/>
      <c r="M124" s="35"/>
      <c r="N124" s="35"/>
      <c r="O124" s="35"/>
      <c r="P124" s="35"/>
      <c r="Q124" s="35"/>
      <c r="R124" s="35"/>
    </row>
    <row r="125" spans="2:18" s="26" customFormat="1" hidden="1" outlineLevel="1" x14ac:dyDescent="0.25">
      <c r="B125" s="37"/>
      <c r="C125" s="37"/>
      <c r="D125" s="11"/>
      <c r="E125" s="11"/>
      <c r="F125" s="11"/>
      <c r="G125" s="11"/>
      <c r="H125" s="35"/>
      <c r="I125" s="35"/>
      <c r="J125" s="35"/>
      <c r="K125" s="35"/>
      <c r="L125" s="35"/>
      <c r="M125" s="35"/>
      <c r="N125" s="35"/>
      <c r="O125" s="35"/>
      <c r="P125" s="35"/>
      <c r="Q125" s="35"/>
      <c r="R125" s="35"/>
    </row>
    <row r="126" spans="2:18" s="26" customFormat="1" hidden="1" outlineLevel="1" x14ac:dyDescent="0.25">
      <c r="B126" s="37"/>
      <c r="C126" s="37"/>
      <c r="D126" s="11"/>
      <c r="E126" s="11"/>
      <c r="F126" s="11"/>
      <c r="G126" s="11"/>
      <c r="H126" s="35"/>
      <c r="I126" s="35"/>
      <c r="J126" s="35"/>
      <c r="K126" s="35"/>
      <c r="L126" s="35"/>
      <c r="M126" s="35"/>
      <c r="N126" s="35"/>
      <c r="O126" s="35"/>
      <c r="P126" s="35"/>
      <c r="Q126" s="35"/>
      <c r="R126" s="35"/>
    </row>
    <row r="127" spans="2:18" s="26" customFormat="1" hidden="1" outlineLevel="1" x14ac:dyDescent="0.25">
      <c r="B127" s="37"/>
      <c r="C127" s="37"/>
      <c r="D127" s="11"/>
      <c r="E127" s="11"/>
      <c r="F127" s="11"/>
      <c r="G127" s="11"/>
      <c r="H127" s="35"/>
      <c r="I127" s="35"/>
      <c r="J127" s="35"/>
      <c r="K127" s="35"/>
      <c r="L127" s="35"/>
      <c r="M127" s="35"/>
      <c r="N127" s="35"/>
      <c r="O127" s="35"/>
      <c r="P127" s="35"/>
      <c r="Q127" s="35"/>
      <c r="R127" s="35"/>
    </row>
    <row r="128" spans="2:18" s="26" customFormat="1" hidden="1" outlineLevel="1" x14ac:dyDescent="0.25">
      <c r="B128" s="37"/>
      <c r="C128" s="37"/>
      <c r="D128" s="11"/>
      <c r="E128" s="11"/>
      <c r="F128" s="11"/>
      <c r="G128" s="11"/>
      <c r="H128" s="35"/>
      <c r="I128" s="35"/>
      <c r="J128" s="35"/>
      <c r="K128" s="35"/>
      <c r="L128" s="35"/>
      <c r="M128" s="35"/>
      <c r="N128" s="35"/>
      <c r="O128" s="35"/>
      <c r="P128" s="35"/>
      <c r="Q128" s="35"/>
      <c r="R128" s="35"/>
    </row>
    <row r="129" spans="2:18" s="26" customFormat="1" hidden="1" outlineLevel="1" x14ac:dyDescent="0.25">
      <c r="B129" s="37"/>
      <c r="C129" s="37"/>
      <c r="D129" s="11"/>
      <c r="E129" s="11"/>
      <c r="F129" s="11"/>
      <c r="G129" s="11"/>
      <c r="H129" s="35"/>
      <c r="I129" s="35"/>
      <c r="J129" s="35"/>
      <c r="K129" s="35"/>
      <c r="L129" s="35"/>
      <c r="M129" s="35"/>
      <c r="N129" s="35"/>
      <c r="O129" s="35"/>
      <c r="P129" s="35"/>
      <c r="Q129" s="35"/>
      <c r="R129" s="35"/>
    </row>
    <row r="130" spans="2:18" s="26" customFormat="1" hidden="1" outlineLevel="1" x14ac:dyDescent="0.25">
      <c r="B130" s="37"/>
      <c r="C130" s="37"/>
      <c r="D130" s="11"/>
      <c r="E130" s="11"/>
      <c r="F130" s="11"/>
      <c r="G130" s="11"/>
      <c r="H130" s="35"/>
      <c r="I130" s="35"/>
      <c r="J130" s="35"/>
      <c r="K130" s="35"/>
      <c r="L130" s="35"/>
      <c r="M130" s="35"/>
      <c r="N130" s="35"/>
      <c r="O130" s="35"/>
      <c r="P130" s="35"/>
      <c r="Q130" s="35"/>
      <c r="R130" s="35"/>
    </row>
    <row r="131" spans="2:18" s="26" customFormat="1" hidden="1" outlineLevel="1" x14ac:dyDescent="0.25">
      <c r="B131" s="37"/>
      <c r="C131" s="37"/>
      <c r="D131" s="11"/>
      <c r="E131" s="11"/>
      <c r="F131" s="11"/>
      <c r="G131" s="11"/>
      <c r="H131" s="35"/>
      <c r="I131" s="35"/>
      <c r="J131" s="35"/>
      <c r="K131" s="35"/>
      <c r="L131" s="35"/>
      <c r="M131" s="35"/>
      <c r="N131" s="35"/>
      <c r="O131" s="35"/>
      <c r="P131" s="35"/>
      <c r="Q131" s="35"/>
      <c r="R131" s="35"/>
    </row>
    <row r="132" spans="2:18" s="26" customFormat="1" hidden="1" outlineLevel="1" x14ac:dyDescent="0.25">
      <c r="B132" s="37"/>
      <c r="C132" s="37"/>
      <c r="D132" s="11"/>
      <c r="E132" s="11"/>
      <c r="F132" s="11"/>
      <c r="G132" s="11"/>
      <c r="H132" s="35"/>
      <c r="I132" s="35"/>
      <c r="J132" s="35"/>
      <c r="K132" s="35"/>
      <c r="L132" s="35"/>
      <c r="M132" s="35"/>
      <c r="N132" s="35"/>
      <c r="O132" s="35"/>
      <c r="P132" s="35"/>
      <c r="Q132" s="35"/>
      <c r="R132" s="35"/>
    </row>
    <row r="133" spans="2:18" s="26" customFormat="1" hidden="1" outlineLevel="1" x14ac:dyDescent="0.25">
      <c r="B133" s="37"/>
      <c r="C133" s="37"/>
      <c r="D133" s="11"/>
      <c r="E133" s="11"/>
      <c r="F133" s="11"/>
      <c r="G133" s="11"/>
      <c r="H133" s="35"/>
      <c r="I133" s="35"/>
      <c r="J133" s="35"/>
      <c r="K133" s="35"/>
      <c r="L133" s="35"/>
      <c r="M133" s="35"/>
      <c r="N133" s="35"/>
      <c r="O133" s="35"/>
      <c r="P133" s="35"/>
      <c r="Q133" s="35"/>
      <c r="R133" s="35"/>
    </row>
    <row r="134" spans="2:18" s="26" customFormat="1" hidden="1" outlineLevel="1" x14ac:dyDescent="0.25">
      <c r="B134" s="37"/>
      <c r="C134" s="37"/>
      <c r="D134" s="11"/>
      <c r="E134" s="11"/>
      <c r="F134" s="11"/>
      <c r="G134" s="11"/>
      <c r="H134" s="35"/>
      <c r="I134" s="35"/>
      <c r="J134" s="35"/>
      <c r="K134" s="35"/>
      <c r="L134" s="35"/>
      <c r="M134" s="35"/>
      <c r="N134" s="35"/>
      <c r="O134" s="35"/>
      <c r="P134" s="35"/>
      <c r="Q134" s="35"/>
      <c r="R134" s="35"/>
    </row>
    <row r="135" spans="2:18" collapsed="1" x14ac:dyDescent="0.25"/>
    <row r="136" spans="2:18" s="57" customFormat="1" x14ac:dyDescent="0.25">
      <c r="B136" s="57" t="s">
        <v>177</v>
      </c>
    </row>
    <row r="138" spans="2:18" ht="16.5" customHeight="1" x14ac:dyDescent="0.3">
      <c r="B138" s="46" t="s">
        <v>157</v>
      </c>
      <c r="C138" s="46" t="s">
        <v>114</v>
      </c>
      <c r="D138" s="46" t="s">
        <v>115</v>
      </c>
      <c r="E138" s="46" t="s">
        <v>116</v>
      </c>
      <c r="F138" s="46" t="s">
        <v>117</v>
      </c>
      <c r="G138" s="46" t="s">
        <v>118</v>
      </c>
      <c r="H138" s="46" t="s">
        <v>158</v>
      </c>
      <c r="I138" s="46" t="s">
        <v>159</v>
      </c>
      <c r="J138" s="46" t="s">
        <v>160</v>
      </c>
      <c r="K138" s="46" t="s">
        <v>161</v>
      </c>
      <c r="L138" s="46" t="s">
        <v>162</v>
      </c>
      <c r="M138" s="46" t="s">
        <v>163</v>
      </c>
      <c r="N138" s="46" t="s">
        <v>164</v>
      </c>
      <c r="O138" s="46" t="s">
        <v>165</v>
      </c>
    </row>
    <row r="139" spans="2:18" hidden="1" x14ac:dyDescent="0.25">
      <c r="B139" s="37"/>
      <c r="C139" s="37"/>
      <c r="D139" s="11"/>
      <c r="E139" s="11"/>
      <c r="F139" s="11"/>
      <c r="G139" s="11"/>
      <c r="H139" s="35"/>
      <c r="I139" s="35"/>
      <c r="J139" s="35"/>
      <c r="K139" s="35"/>
      <c r="L139" s="35"/>
      <c r="M139" s="35"/>
      <c r="N139" s="35"/>
      <c r="O139" s="11"/>
    </row>
    <row r="140" spans="2:18" hidden="1" x14ac:dyDescent="0.25">
      <c r="B140" s="37"/>
      <c r="C140" s="37"/>
      <c r="D140" s="11"/>
      <c r="E140" s="11"/>
      <c r="F140" s="11"/>
      <c r="G140" s="11"/>
      <c r="H140" s="35"/>
      <c r="I140" s="35"/>
      <c r="J140" s="35"/>
      <c r="K140" s="35"/>
      <c r="L140" s="35"/>
      <c r="M140" s="35"/>
      <c r="N140" s="35"/>
      <c r="O140" s="11"/>
    </row>
    <row r="141" spans="2:18" hidden="1" x14ac:dyDescent="0.25">
      <c r="B141" s="37"/>
      <c r="C141" s="37"/>
      <c r="D141" s="11"/>
      <c r="E141" s="11"/>
      <c r="F141" s="11"/>
      <c r="G141" s="11"/>
      <c r="H141" s="35"/>
      <c r="I141" s="35"/>
      <c r="J141" s="35"/>
      <c r="K141" s="35"/>
      <c r="L141" s="35"/>
      <c r="M141" s="35"/>
      <c r="N141" s="35"/>
      <c r="O141" s="11"/>
    </row>
    <row r="142" spans="2:18" hidden="1" outlineLevel="1" x14ac:dyDescent="0.25">
      <c r="B142" s="37"/>
      <c r="C142" s="37"/>
      <c r="D142" s="11"/>
      <c r="E142" s="11"/>
      <c r="F142" s="11"/>
      <c r="G142" s="11"/>
      <c r="H142" s="35"/>
      <c r="I142" s="35"/>
      <c r="J142" s="35"/>
      <c r="K142" s="35"/>
      <c r="L142" s="35"/>
      <c r="M142" s="35"/>
      <c r="N142" s="35"/>
      <c r="O142" s="11"/>
    </row>
    <row r="143" spans="2:18" hidden="1" outlineLevel="1" x14ac:dyDescent="0.25">
      <c r="B143" s="37"/>
      <c r="C143" s="37"/>
      <c r="D143" s="11"/>
      <c r="E143" s="11"/>
      <c r="F143" s="11"/>
      <c r="G143" s="11"/>
      <c r="H143" s="35"/>
      <c r="I143" s="35"/>
      <c r="J143" s="35"/>
      <c r="K143" s="35"/>
      <c r="L143" s="35"/>
      <c r="M143" s="35"/>
      <c r="N143" s="35"/>
      <c r="O143" s="11"/>
    </row>
    <row r="144" spans="2:18" hidden="1" outlineLevel="1" x14ac:dyDescent="0.25">
      <c r="B144" s="37"/>
      <c r="C144" s="37"/>
      <c r="D144" s="11"/>
      <c r="E144" s="11"/>
      <c r="F144" s="11"/>
      <c r="G144" s="11"/>
      <c r="H144" s="35"/>
      <c r="I144" s="35"/>
      <c r="J144" s="35"/>
      <c r="K144" s="35"/>
      <c r="L144" s="35"/>
      <c r="M144" s="35"/>
      <c r="N144" s="35"/>
      <c r="O144" s="11"/>
    </row>
    <row r="145" spans="2:15" hidden="1" outlineLevel="1" x14ac:dyDescent="0.25">
      <c r="B145" s="37"/>
      <c r="C145" s="37"/>
      <c r="D145" s="11"/>
      <c r="E145" s="11"/>
      <c r="F145" s="11"/>
      <c r="G145" s="11"/>
      <c r="H145" s="35"/>
      <c r="I145" s="35"/>
      <c r="J145" s="35"/>
      <c r="K145" s="35"/>
      <c r="L145" s="35"/>
      <c r="M145" s="35"/>
      <c r="N145" s="35"/>
      <c r="O145" s="11"/>
    </row>
    <row r="146" spans="2:15" hidden="1" outlineLevel="1" x14ac:dyDescent="0.25">
      <c r="B146" s="37"/>
      <c r="C146" s="37"/>
      <c r="D146" s="11"/>
      <c r="E146" s="11"/>
      <c r="F146" s="11"/>
      <c r="G146" s="11"/>
      <c r="H146" s="35"/>
      <c r="I146" s="35"/>
      <c r="J146" s="35"/>
      <c r="K146" s="35"/>
      <c r="L146" s="35"/>
      <c r="M146" s="35"/>
      <c r="N146" s="35"/>
      <c r="O146" s="11"/>
    </row>
    <row r="147" spans="2:15" hidden="1" outlineLevel="1" x14ac:dyDescent="0.25">
      <c r="B147" s="37"/>
      <c r="C147" s="37"/>
      <c r="D147" s="11"/>
      <c r="E147" s="11"/>
      <c r="F147" s="11"/>
      <c r="G147" s="11"/>
      <c r="H147" s="35"/>
      <c r="I147" s="35"/>
      <c r="J147" s="35"/>
      <c r="K147" s="35"/>
      <c r="L147" s="35"/>
      <c r="M147" s="35"/>
      <c r="N147" s="35"/>
      <c r="O147" s="11"/>
    </row>
    <row r="148" spans="2:15" hidden="1" outlineLevel="1" x14ac:dyDescent="0.25">
      <c r="B148" s="37"/>
      <c r="C148" s="37"/>
      <c r="D148" s="11"/>
      <c r="E148" s="11"/>
      <c r="F148" s="11"/>
      <c r="G148" s="11"/>
      <c r="H148" s="35"/>
      <c r="I148" s="35"/>
      <c r="J148" s="35"/>
      <c r="K148" s="35"/>
      <c r="L148" s="35"/>
      <c r="M148" s="35"/>
      <c r="N148" s="35"/>
      <c r="O148" s="11"/>
    </row>
    <row r="149" spans="2:15" hidden="1" outlineLevel="1" x14ac:dyDescent="0.25">
      <c r="B149" s="37"/>
      <c r="C149" s="37"/>
      <c r="D149" s="11"/>
      <c r="E149" s="11"/>
      <c r="F149" s="11"/>
      <c r="G149" s="11"/>
      <c r="H149" s="35"/>
      <c r="I149" s="35"/>
      <c r="J149" s="35"/>
      <c r="K149" s="35"/>
      <c r="L149" s="35"/>
      <c r="M149" s="35"/>
      <c r="N149" s="35"/>
      <c r="O149" s="11"/>
    </row>
    <row r="150" spans="2:15" hidden="1" outlineLevel="1" x14ac:dyDescent="0.25">
      <c r="B150" s="37"/>
      <c r="C150" s="37"/>
      <c r="D150" s="11"/>
      <c r="E150" s="11"/>
      <c r="F150" s="11"/>
      <c r="G150" s="11"/>
      <c r="H150" s="35"/>
      <c r="I150" s="35"/>
      <c r="J150" s="35"/>
      <c r="K150" s="35"/>
      <c r="L150" s="35"/>
      <c r="M150" s="35"/>
      <c r="N150" s="35"/>
      <c r="O150" s="11"/>
    </row>
    <row r="151" spans="2:15" hidden="1" outlineLevel="1" x14ac:dyDescent="0.25">
      <c r="B151" s="37"/>
      <c r="C151" s="37"/>
      <c r="D151" s="11"/>
      <c r="E151" s="11"/>
      <c r="F151" s="11"/>
      <c r="G151" s="11"/>
      <c r="H151" s="35"/>
      <c r="I151" s="35"/>
      <c r="J151" s="35"/>
      <c r="K151" s="35"/>
      <c r="L151" s="35"/>
      <c r="M151" s="35"/>
      <c r="N151" s="35"/>
      <c r="O151" s="11"/>
    </row>
    <row r="152" spans="2:15" hidden="1" outlineLevel="1" x14ac:dyDescent="0.25">
      <c r="B152" s="37"/>
      <c r="C152" s="37"/>
      <c r="D152" s="11"/>
      <c r="E152" s="11"/>
      <c r="F152" s="11"/>
      <c r="G152" s="11"/>
      <c r="H152" s="35"/>
      <c r="I152" s="35"/>
      <c r="J152" s="35"/>
      <c r="K152" s="35"/>
      <c r="L152" s="35"/>
      <c r="M152" s="35"/>
      <c r="N152" s="35"/>
      <c r="O152" s="11"/>
    </row>
    <row r="153" spans="2:15" hidden="1" outlineLevel="1" x14ac:dyDescent="0.25">
      <c r="B153" s="37"/>
      <c r="C153" s="37"/>
      <c r="D153" s="11"/>
      <c r="E153" s="11"/>
      <c r="F153" s="11"/>
      <c r="G153" s="11"/>
      <c r="H153" s="35"/>
      <c r="I153" s="35"/>
      <c r="J153" s="35"/>
      <c r="K153" s="35"/>
      <c r="L153" s="35"/>
      <c r="M153" s="35"/>
      <c r="N153" s="35"/>
      <c r="O153" s="11"/>
    </row>
    <row r="154" spans="2:15" hidden="1" outlineLevel="1" x14ac:dyDescent="0.25">
      <c r="B154" s="37"/>
      <c r="C154" s="37"/>
      <c r="D154" s="11"/>
      <c r="E154" s="11"/>
      <c r="F154" s="11"/>
      <c r="G154" s="11"/>
      <c r="H154" s="35"/>
      <c r="I154" s="35"/>
      <c r="J154" s="35"/>
      <c r="K154" s="35"/>
      <c r="L154" s="35"/>
      <c r="M154" s="35"/>
      <c r="N154" s="35"/>
      <c r="O154" s="11"/>
    </row>
    <row r="155" spans="2:15" hidden="1" outlineLevel="1" x14ac:dyDescent="0.25">
      <c r="B155" s="37"/>
      <c r="C155" s="37"/>
      <c r="D155" s="11"/>
      <c r="E155" s="11"/>
      <c r="F155" s="11"/>
      <c r="G155" s="11"/>
      <c r="H155" s="35"/>
      <c r="I155" s="35"/>
      <c r="J155" s="35"/>
      <c r="K155" s="35"/>
      <c r="L155" s="35"/>
      <c r="M155" s="35"/>
      <c r="N155" s="35"/>
      <c r="O155" s="11"/>
    </row>
    <row r="156" spans="2:15" hidden="1" outlineLevel="1" x14ac:dyDescent="0.25">
      <c r="B156" s="37"/>
      <c r="C156" s="37"/>
      <c r="D156" s="11"/>
      <c r="E156" s="11"/>
      <c r="F156" s="11"/>
      <c r="G156" s="11"/>
      <c r="H156" s="35"/>
      <c r="I156" s="35"/>
      <c r="J156" s="35"/>
      <c r="K156" s="35"/>
      <c r="L156" s="35"/>
      <c r="M156" s="35"/>
      <c r="N156" s="35"/>
      <c r="O156" s="11"/>
    </row>
    <row r="157" spans="2:15" hidden="1" outlineLevel="1" x14ac:dyDescent="0.25">
      <c r="B157" s="37"/>
      <c r="C157" s="37"/>
      <c r="D157" s="11"/>
      <c r="E157" s="11"/>
      <c r="F157" s="11"/>
      <c r="G157" s="11"/>
      <c r="H157" s="35"/>
      <c r="I157" s="35"/>
      <c r="J157" s="35"/>
      <c r="K157" s="35"/>
      <c r="L157" s="35"/>
      <c r="M157" s="35"/>
      <c r="N157" s="35"/>
      <c r="O157" s="11"/>
    </row>
    <row r="158" spans="2:15" hidden="1" outlineLevel="1" x14ac:dyDescent="0.25">
      <c r="B158" s="37"/>
      <c r="C158" s="37"/>
      <c r="D158" s="11"/>
      <c r="E158" s="11"/>
      <c r="F158" s="11"/>
      <c r="G158" s="11"/>
      <c r="H158" s="35"/>
      <c r="I158" s="35"/>
      <c r="J158" s="35"/>
      <c r="K158" s="35"/>
      <c r="L158" s="35"/>
      <c r="M158" s="35"/>
      <c r="N158" s="35"/>
      <c r="O158" s="11"/>
    </row>
    <row r="159" spans="2:15" collapsed="1" x14ac:dyDescent="0.25"/>
    <row r="160" spans="2:15" s="57" customFormat="1" x14ac:dyDescent="0.25">
      <c r="B160" s="57" t="s">
        <v>178</v>
      </c>
    </row>
    <row r="162" spans="2:16" ht="16.5" customHeight="1" x14ac:dyDescent="0.3">
      <c r="B162" s="46" t="s">
        <v>179</v>
      </c>
      <c r="C162" s="46" t="s">
        <v>114</v>
      </c>
      <c r="D162" s="46" t="s">
        <v>115</v>
      </c>
      <c r="E162" s="46" t="s">
        <v>116</v>
      </c>
      <c r="F162" s="46" t="s">
        <v>117</v>
      </c>
      <c r="G162" s="46" t="s">
        <v>118</v>
      </c>
      <c r="H162" s="46" t="s">
        <v>180</v>
      </c>
      <c r="I162" s="46" t="s">
        <v>181</v>
      </c>
      <c r="J162" s="46" t="s">
        <v>160</v>
      </c>
      <c r="K162" s="46" t="s">
        <v>161</v>
      </c>
      <c r="L162" s="46" t="s">
        <v>162</v>
      </c>
      <c r="M162" s="46" t="s">
        <v>163</v>
      </c>
      <c r="N162" s="46" t="s">
        <v>164</v>
      </c>
      <c r="O162" s="46" t="s">
        <v>165</v>
      </c>
      <c r="P162" s="46" t="s">
        <v>182</v>
      </c>
    </row>
    <row r="163" spans="2:16" hidden="1" x14ac:dyDescent="0.25">
      <c r="B163" s="37"/>
      <c r="C163" s="37"/>
      <c r="D163" s="11"/>
      <c r="E163" s="11"/>
      <c r="F163" s="11"/>
      <c r="G163" s="11"/>
      <c r="H163" s="35"/>
      <c r="I163" s="35"/>
      <c r="J163" s="35"/>
      <c r="K163" s="35"/>
      <c r="L163" s="35"/>
      <c r="M163" s="35"/>
      <c r="N163" s="35"/>
      <c r="O163" s="11"/>
      <c r="P163" s="59"/>
    </row>
    <row r="164" spans="2:16" hidden="1" x14ac:dyDescent="0.25">
      <c r="B164" s="37"/>
      <c r="C164" s="37"/>
      <c r="D164" s="11"/>
      <c r="E164" s="11"/>
      <c r="F164" s="11"/>
      <c r="G164" s="11"/>
      <c r="H164" s="35"/>
      <c r="I164" s="35"/>
      <c r="J164" s="35"/>
      <c r="K164" s="35"/>
      <c r="L164" s="35"/>
      <c r="M164" s="35"/>
      <c r="N164" s="35"/>
      <c r="O164" s="11"/>
      <c r="P164" s="59"/>
    </row>
    <row r="165" spans="2:16" hidden="1" x14ac:dyDescent="0.25">
      <c r="B165" s="37"/>
      <c r="C165" s="37"/>
      <c r="D165" s="11"/>
      <c r="E165" s="11"/>
      <c r="F165" s="11"/>
      <c r="G165" s="11"/>
      <c r="H165" s="35"/>
      <c r="I165" s="35"/>
      <c r="J165" s="35"/>
      <c r="K165" s="35"/>
      <c r="L165" s="35"/>
      <c r="M165" s="35"/>
      <c r="N165" s="35"/>
      <c r="O165" s="11"/>
      <c r="P165" s="59"/>
    </row>
    <row r="166" spans="2:16" hidden="1" outlineLevel="1" x14ac:dyDescent="0.25">
      <c r="B166" s="37"/>
      <c r="C166" s="37"/>
      <c r="D166" s="11"/>
      <c r="E166" s="11"/>
      <c r="F166" s="11"/>
      <c r="G166" s="11"/>
      <c r="H166" s="35"/>
      <c r="I166" s="35"/>
      <c r="J166" s="35"/>
      <c r="K166" s="35"/>
      <c r="L166" s="35"/>
      <c r="M166" s="35"/>
      <c r="N166" s="35"/>
      <c r="O166" s="11"/>
      <c r="P166" s="59"/>
    </row>
    <row r="167" spans="2:16" hidden="1" outlineLevel="1" x14ac:dyDescent="0.25">
      <c r="B167" s="37"/>
      <c r="C167" s="37"/>
      <c r="D167" s="11"/>
      <c r="E167" s="11"/>
      <c r="F167" s="11"/>
      <c r="G167" s="11"/>
      <c r="H167" s="35"/>
      <c r="I167" s="35"/>
      <c r="J167" s="35"/>
      <c r="K167" s="35"/>
      <c r="L167" s="35"/>
      <c r="M167" s="35"/>
      <c r="N167" s="35"/>
      <c r="O167" s="11"/>
      <c r="P167" s="59"/>
    </row>
    <row r="168" spans="2:16" hidden="1" outlineLevel="1" x14ac:dyDescent="0.25">
      <c r="B168" s="37"/>
      <c r="C168" s="37"/>
      <c r="D168" s="11"/>
      <c r="E168" s="11"/>
      <c r="F168" s="11"/>
      <c r="G168" s="11"/>
      <c r="H168" s="35"/>
      <c r="I168" s="35"/>
      <c r="J168" s="35"/>
      <c r="K168" s="35"/>
      <c r="L168" s="35"/>
      <c r="M168" s="35"/>
      <c r="N168" s="35"/>
      <c r="O168" s="11"/>
      <c r="P168" s="59"/>
    </row>
    <row r="169" spans="2:16" hidden="1" outlineLevel="1" x14ac:dyDescent="0.25">
      <c r="B169" s="37"/>
      <c r="C169" s="37"/>
      <c r="D169" s="11"/>
      <c r="E169" s="11"/>
      <c r="F169" s="11"/>
      <c r="G169" s="11"/>
      <c r="H169" s="35"/>
      <c r="I169" s="35"/>
      <c r="J169" s="35"/>
      <c r="K169" s="35"/>
      <c r="L169" s="35"/>
      <c r="M169" s="35"/>
      <c r="N169" s="35"/>
      <c r="O169" s="11"/>
      <c r="P169" s="59"/>
    </row>
    <row r="170" spans="2:16" hidden="1" outlineLevel="1" x14ac:dyDescent="0.25">
      <c r="B170" s="37"/>
      <c r="C170" s="37"/>
      <c r="D170" s="11"/>
      <c r="E170" s="11"/>
      <c r="F170" s="11"/>
      <c r="G170" s="11"/>
      <c r="H170" s="35"/>
      <c r="I170" s="35"/>
      <c r="J170" s="35"/>
      <c r="K170" s="35"/>
      <c r="L170" s="35"/>
      <c r="M170" s="35"/>
      <c r="N170" s="35"/>
      <c r="O170" s="11"/>
      <c r="P170" s="59"/>
    </row>
    <row r="171" spans="2:16" hidden="1" outlineLevel="1" x14ac:dyDescent="0.25">
      <c r="B171" s="37"/>
      <c r="C171" s="37"/>
      <c r="D171" s="11"/>
      <c r="E171" s="11"/>
      <c r="F171" s="11"/>
      <c r="G171" s="11"/>
      <c r="H171" s="35"/>
      <c r="I171" s="35"/>
      <c r="J171" s="35"/>
      <c r="K171" s="35"/>
      <c r="L171" s="35"/>
      <c r="M171" s="35"/>
      <c r="N171" s="35"/>
      <c r="O171" s="11"/>
      <c r="P171" s="59"/>
    </row>
    <row r="172" spans="2:16" hidden="1" outlineLevel="1" x14ac:dyDescent="0.25">
      <c r="B172" s="37"/>
      <c r="C172" s="37"/>
      <c r="D172" s="11"/>
      <c r="E172" s="11"/>
      <c r="F172" s="11"/>
      <c r="G172" s="11"/>
      <c r="H172" s="35"/>
      <c r="I172" s="35"/>
      <c r="J172" s="35"/>
      <c r="K172" s="35"/>
      <c r="L172" s="35"/>
      <c r="M172" s="35"/>
      <c r="N172" s="35"/>
      <c r="O172" s="11"/>
      <c r="P172" s="59"/>
    </row>
    <row r="173" spans="2:16" hidden="1" outlineLevel="1" x14ac:dyDescent="0.25">
      <c r="B173" s="37"/>
      <c r="C173" s="37"/>
      <c r="D173" s="11"/>
      <c r="E173" s="11"/>
      <c r="F173" s="11"/>
      <c r="G173" s="11"/>
      <c r="H173" s="35"/>
      <c r="I173" s="35"/>
      <c r="J173" s="35"/>
      <c r="K173" s="35"/>
      <c r="L173" s="35"/>
      <c r="M173" s="35"/>
      <c r="N173" s="35"/>
      <c r="O173" s="11"/>
      <c r="P173" s="59"/>
    </row>
    <row r="174" spans="2:16" hidden="1" outlineLevel="1" x14ac:dyDescent="0.25">
      <c r="B174" s="37"/>
      <c r="C174" s="37"/>
      <c r="D174" s="11"/>
      <c r="E174" s="11"/>
      <c r="F174" s="11"/>
      <c r="G174" s="11"/>
      <c r="H174" s="35"/>
      <c r="I174" s="35"/>
      <c r="J174" s="35"/>
      <c r="K174" s="35"/>
      <c r="L174" s="35"/>
      <c r="M174" s="35"/>
      <c r="N174" s="35"/>
      <c r="O174" s="11"/>
      <c r="P174" s="59"/>
    </row>
    <row r="175" spans="2:16" hidden="1" outlineLevel="1" x14ac:dyDescent="0.25">
      <c r="B175" s="37"/>
      <c r="C175" s="37"/>
      <c r="D175" s="11"/>
      <c r="E175" s="11"/>
      <c r="F175" s="11"/>
      <c r="G175" s="11"/>
      <c r="H175" s="35"/>
      <c r="I175" s="35"/>
      <c r="J175" s="35"/>
      <c r="K175" s="35"/>
      <c r="L175" s="35"/>
      <c r="M175" s="35"/>
      <c r="N175" s="35"/>
      <c r="O175" s="11"/>
      <c r="P175" s="59"/>
    </row>
    <row r="176" spans="2:16" hidden="1" outlineLevel="1" x14ac:dyDescent="0.25">
      <c r="B176" s="37"/>
      <c r="C176" s="37"/>
      <c r="D176" s="11"/>
      <c r="E176" s="11"/>
      <c r="F176" s="11"/>
      <c r="G176" s="11"/>
      <c r="H176" s="35"/>
      <c r="I176" s="35"/>
      <c r="J176" s="35"/>
      <c r="K176" s="35"/>
      <c r="L176" s="35"/>
      <c r="M176" s="35"/>
      <c r="N176" s="35"/>
      <c r="O176" s="11"/>
      <c r="P176" s="59"/>
    </row>
    <row r="177" spans="2:20" hidden="1" outlineLevel="1" x14ac:dyDescent="0.25">
      <c r="B177" s="37"/>
      <c r="C177" s="37"/>
      <c r="D177" s="11"/>
      <c r="E177" s="11"/>
      <c r="F177" s="11"/>
      <c r="G177" s="11"/>
      <c r="H177" s="35"/>
      <c r="I177" s="35"/>
      <c r="J177" s="35"/>
      <c r="K177" s="35"/>
      <c r="L177" s="35"/>
      <c r="M177" s="35"/>
      <c r="N177" s="35"/>
      <c r="O177" s="11"/>
      <c r="P177" s="59"/>
    </row>
    <row r="178" spans="2:20" hidden="1" outlineLevel="1" x14ac:dyDescent="0.25">
      <c r="B178" s="37"/>
      <c r="C178" s="37"/>
      <c r="D178" s="11"/>
      <c r="E178" s="11"/>
      <c r="F178" s="11"/>
      <c r="G178" s="11"/>
      <c r="H178" s="35"/>
      <c r="I178" s="35"/>
      <c r="J178" s="35"/>
      <c r="K178" s="35"/>
      <c r="L178" s="35"/>
      <c r="M178" s="35"/>
      <c r="N178" s="35"/>
      <c r="O178" s="11"/>
      <c r="P178" s="59"/>
    </row>
    <row r="179" spans="2:20" hidden="1" outlineLevel="1" x14ac:dyDescent="0.25">
      <c r="B179" s="37"/>
      <c r="C179" s="37"/>
      <c r="D179" s="11"/>
      <c r="E179" s="11"/>
      <c r="F179" s="11"/>
      <c r="G179" s="11"/>
      <c r="H179" s="35"/>
      <c r="I179" s="35"/>
      <c r="J179" s="35"/>
      <c r="K179" s="35"/>
      <c r="L179" s="35"/>
      <c r="M179" s="35"/>
      <c r="N179" s="35"/>
      <c r="O179" s="11"/>
      <c r="P179" s="59"/>
    </row>
    <row r="180" spans="2:20" hidden="1" outlineLevel="1" x14ac:dyDescent="0.25">
      <c r="B180" s="37"/>
      <c r="C180" s="37"/>
      <c r="D180" s="11"/>
      <c r="E180" s="11"/>
      <c r="F180" s="11"/>
      <c r="G180" s="11"/>
      <c r="H180" s="35"/>
      <c r="I180" s="35"/>
      <c r="J180" s="35"/>
      <c r="K180" s="35"/>
      <c r="L180" s="35"/>
      <c r="M180" s="35"/>
      <c r="N180" s="35"/>
      <c r="O180" s="11"/>
      <c r="P180" s="59"/>
    </row>
    <row r="181" spans="2:20" hidden="1" outlineLevel="1" x14ac:dyDescent="0.25">
      <c r="B181" s="37"/>
      <c r="C181" s="37"/>
      <c r="D181" s="11"/>
      <c r="E181" s="11"/>
      <c r="F181" s="11"/>
      <c r="G181" s="11"/>
      <c r="H181" s="35"/>
      <c r="I181" s="35"/>
      <c r="J181" s="35"/>
      <c r="K181" s="35"/>
      <c r="L181" s="35"/>
      <c r="M181" s="35"/>
      <c r="N181" s="35"/>
      <c r="O181" s="11"/>
      <c r="P181" s="59"/>
    </row>
    <row r="182" spans="2:20" hidden="1" outlineLevel="1" x14ac:dyDescent="0.25">
      <c r="B182" s="37"/>
      <c r="C182" s="37"/>
      <c r="D182" s="11"/>
      <c r="E182" s="11"/>
      <c r="F182" s="11"/>
      <c r="G182" s="11"/>
      <c r="H182" s="35"/>
      <c r="I182" s="35"/>
      <c r="J182" s="35"/>
      <c r="K182" s="35"/>
      <c r="L182" s="35"/>
      <c r="M182" s="35"/>
      <c r="N182" s="35"/>
      <c r="O182" s="11"/>
      <c r="P182" s="59"/>
    </row>
    <row r="183" spans="2:20" collapsed="1" x14ac:dyDescent="0.25"/>
    <row r="184" spans="2:20" s="57" customFormat="1" x14ac:dyDescent="0.25">
      <c r="B184" s="58" t="s">
        <v>183</v>
      </c>
      <c r="D184" s="58"/>
      <c r="E184" s="58"/>
      <c r="F184" s="58"/>
    </row>
    <row r="185" spans="2:20" x14ac:dyDescent="0.25">
      <c r="B185" s="26"/>
      <c r="D185" s="26"/>
      <c r="E185" s="26"/>
      <c r="F185" s="26"/>
    </row>
    <row r="186" spans="2:20" ht="16.5" customHeight="1" x14ac:dyDescent="0.3">
      <c r="B186" s="46" t="s">
        <v>184</v>
      </c>
      <c r="C186" s="46" t="s">
        <v>114</v>
      </c>
      <c r="D186" s="46" t="s">
        <v>115</v>
      </c>
      <c r="E186" s="46" t="s">
        <v>116</v>
      </c>
      <c r="F186" s="46" t="s">
        <v>117</v>
      </c>
      <c r="G186" s="46" t="s">
        <v>118</v>
      </c>
      <c r="H186" s="46" t="s">
        <v>168</v>
      </c>
      <c r="I186" s="46" t="s">
        <v>169</v>
      </c>
      <c r="J186" s="46" t="s">
        <v>160</v>
      </c>
      <c r="K186" s="46" t="s">
        <v>170</v>
      </c>
      <c r="L186" s="46" t="s">
        <v>171</v>
      </c>
      <c r="M186" s="46" t="s">
        <v>185</v>
      </c>
      <c r="N186" s="46" t="s">
        <v>186</v>
      </c>
      <c r="O186" s="46" t="s">
        <v>173</v>
      </c>
      <c r="P186" s="46" t="s">
        <v>174</v>
      </c>
      <c r="Q186" s="46" t="s">
        <v>175</v>
      </c>
      <c r="R186" s="46" t="s">
        <v>136</v>
      </c>
      <c r="S186" s="46" t="s">
        <v>176</v>
      </c>
      <c r="T186" s="46" t="s">
        <v>187</v>
      </c>
    </row>
    <row r="187" spans="2:20" hidden="1" x14ac:dyDescent="0.25">
      <c r="B187" s="37"/>
      <c r="C187" s="37"/>
      <c r="D187" s="11"/>
      <c r="E187" s="11"/>
      <c r="F187" s="11"/>
      <c r="G187" s="11"/>
      <c r="H187" s="35"/>
      <c r="I187" s="35"/>
      <c r="J187" s="35"/>
      <c r="K187" s="35"/>
      <c r="L187" s="35"/>
      <c r="M187" s="35"/>
      <c r="N187" s="35"/>
      <c r="O187" s="35"/>
      <c r="P187" s="35"/>
      <c r="Q187" s="35"/>
      <c r="R187" s="40"/>
      <c r="S187" s="35"/>
      <c r="T187" s="35"/>
    </row>
    <row r="188" spans="2:20" hidden="1" x14ac:dyDescent="0.25">
      <c r="B188" s="37"/>
      <c r="C188" s="37"/>
      <c r="D188" s="11"/>
      <c r="E188" s="11"/>
      <c r="F188" s="11"/>
      <c r="G188" s="11"/>
      <c r="H188" s="35"/>
      <c r="I188" s="35"/>
      <c r="J188" s="35"/>
      <c r="K188" s="35"/>
      <c r="L188" s="35"/>
      <c r="M188" s="35"/>
      <c r="N188" s="35"/>
      <c r="O188" s="35"/>
      <c r="P188" s="35"/>
      <c r="Q188" s="35"/>
      <c r="R188" s="40"/>
      <c r="S188" s="35"/>
      <c r="T188" s="35"/>
    </row>
    <row r="189" spans="2:20" hidden="1" x14ac:dyDescent="0.25">
      <c r="B189" s="37"/>
      <c r="C189" s="37"/>
      <c r="D189" s="11"/>
      <c r="E189" s="11"/>
      <c r="F189" s="11"/>
      <c r="G189" s="11"/>
      <c r="H189" s="35"/>
      <c r="I189" s="35"/>
      <c r="J189" s="35"/>
      <c r="K189" s="35"/>
      <c r="L189" s="35"/>
      <c r="M189" s="35"/>
      <c r="N189" s="35"/>
      <c r="O189" s="35"/>
      <c r="P189" s="35"/>
      <c r="Q189" s="35"/>
      <c r="R189" s="40"/>
      <c r="S189" s="35"/>
      <c r="T189" s="35"/>
    </row>
    <row r="190" spans="2:20" hidden="1" outlineLevel="1" x14ac:dyDescent="0.25">
      <c r="B190" s="37"/>
      <c r="C190" s="37"/>
      <c r="D190" s="11"/>
      <c r="E190" s="11"/>
      <c r="F190" s="11"/>
      <c r="G190" s="11"/>
      <c r="H190" s="35"/>
      <c r="I190" s="35"/>
      <c r="J190" s="35"/>
      <c r="K190" s="35"/>
      <c r="L190" s="35"/>
      <c r="M190" s="35"/>
      <c r="N190" s="35"/>
      <c r="O190" s="35"/>
      <c r="P190" s="35"/>
      <c r="Q190" s="35"/>
      <c r="R190" s="40"/>
      <c r="S190" s="35"/>
      <c r="T190" s="35"/>
    </row>
    <row r="191" spans="2:20" hidden="1" outlineLevel="1" x14ac:dyDescent="0.25">
      <c r="B191" s="37"/>
      <c r="C191" s="37"/>
      <c r="D191" s="11"/>
      <c r="E191" s="11"/>
      <c r="F191" s="11"/>
      <c r="G191" s="11"/>
      <c r="H191" s="35"/>
      <c r="I191" s="35"/>
      <c r="J191" s="35"/>
      <c r="K191" s="35"/>
      <c r="L191" s="35"/>
      <c r="M191" s="35"/>
      <c r="N191" s="35"/>
      <c r="O191" s="35"/>
      <c r="P191" s="35"/>
      <c r="Q191" s="35"/>
      <c r="R191" s="40"/>
      <c r="S191" s="35"/>
      <c r="T191" s="35"/>
    </row>
    <row r="192" spans="2:20" hidden="1" outlineLevel="1" x14ac:dyDescent="0.25">
      <c r="B192" s="37"/>
      <c r="C192" s="37"/>
      <c r="D192" s="11"/>
      <c r="E192" s="11"/>
      <c r="F192" s="11"/>
      <c r="G192" s="11"/>
      <c r="H192" s="35"/>
      <c r="I192" s="35"/>
      <c r="J192" s="35"/>
      <c r="K192" s="35"/>
      <c r="L192" s="35"/>
      <c r="M192" s="35"/>
      <c r="N192" s="35"/>
      <c r="O192" s="35"/>
      <c r="P192" s="35"/>
      <c r="Q192" s="35"/>
      <c r="R192" s="40"/>
      <c r="S192" s="35"/>
      <c r="T192" s="35"/>
    </row>
    <row r="193" spans="2:20" hidden="1" outlineLevel="1" x14ac:dyDescent="0.25">
      <c r="B193" s="37"/>
      <c r="C193" s="37"/>
      <c r="D193" s="11"/>
      <c r="E193" s="11"/>
      <c r="F193" s="11"/>
      <c r="G193" s="11"/>
      <c r="H193" s="35"/>
      <c r="I193" s="35"/>
      <c r="J193" s="35"/>
      <c r="K193" s="35"/>
      <c r="L193" s="35"/>
      <c r="M193" s="35"/>
      <c r="N193" s="35"/>
      <c r="O193" s="35"/>
      <c r="P193" s="35"/>
      <c r="Q193" s="35"/>
      <c r="R193" s="40"/>
      <c r="S193" s="35"/>
      <c r="T193" s="35"/>
    </row>
    <row r="194" spans="2:20" hidden="1" outlineLevel="1" x14ac:dyDescent="0.25">
      <c r="B194" s="37"/>
      <c r="C194" s="37"/>
      <c r="D194" s="11"/>
      <c r="E194" s="11"/>
      <c r="F194" s="11"/>
      <c r="G194" s="11"/>
      <c r="H194" s="35"/>
      <c r="I194" s="35"/>
      <c r="J194" s="35"/>
      <c r="K194" s="35"/>
      <c r="L194" s="35"/>
      <c r="M194" s="35"/>
      <c r="N194" s="35"/>
      <c r="O194" s="35"/>
      <c r="P194" s="35"/>
      <c r="Q194" s="35"/>
      <c r="R194" s="40"/>
      <c r="S194" s="35"/>
      <c r="T194" s="35"/>
    </row>
    <row r="195" spans="2:20" hidden="1" outlineLevel="1" x14ac:dyDescent="0.25">
      <c r="B195" s="37"/>
      <c r="C195" s="37"/>
      <c r="D195" s="11"/>
      <c r="E195" s="11"/>
      <c r="F195" s="11"/>
      <c r="G195" s="11"/>
      <c r="H195" s="35"/>
      <c r="I195" s="35"/>
      <c r="J195" s="35"/>
      <c r="K195" s="35"/>
      <c r="L195" s="35"/>
      <c r="M195" s="35"/>
      <c r="N195" s="35"/>
      <c r="O195" s="35"/>
      <c r="P195" s="35"/>
      <c r="Q195" s="35"/>
      <c r="R195" s="40"/>
      <c r="S195" s="35"/>
      <c r="T195" s="35"/>
    </row>
    <row r="196" spans="2:20" hidden="1" outlineLevel="1" x14ac:dyDescent="0.25">
      <c r="B196" s="37"/>
      <c r="C196" s="37"/>
      <c r="D196" s="11"/>
      <c r="E196" s="11"/>
      <c r="F196" s="11"/>
      <c r="G196" s="11"/>
      <c r="H196" s="35"/>
      <c r="I196" s="35"/>
      <c r="J196" s="35"/>
      <c r="K196" s="35"/>
      <c r="L196" s="35"/>
      <c r="M196" s="35"/>
      <c r="N196" s="35"/>
      <c r="O196" s="35"/>
      <c r="P196" s="35"/>
      <c r="Q196" s="35"/>
      <c r="R196" s="40"/>
      <c r="S196" s="35"/>
      <c r="T196" s="35"/>
    </row>
    <row r="197" spans="2:20" hidden="1" outlineLevel="1" x14ac:dyDescent="0.25">
      <c r="B197" s="37"/>
      <c r="C197" s="37"/>
      <c r="D197" s="11"/>
      <c r="E197" s="11"/>
      <c r="F197" s="11"/>
      <c r="G197" s="11"/>
      <c r="H197" s="35"/>
      <c r="I197" s="35"/>
      <c r="J197" s="35"/>
      <c r="K197" s="35"/>
      <c r="L197" s="35"/>
      <c r="M197" s="35"/>
      <c r="N197" s="35"/>
      <c r="O197" s="35"/>
      <c r="P197" s="35"/>
      <c r="Q197" s="35"/>
      <c r="R197" s="40"/>
      <c r="S197" s="35"/>
      <c r="T197" s="35"/>
    </row>
    <row r="198" spans="2:20" hidden="1" outlineLevel="1" x14ac:dyDescent="0.25">
      <c r="B198" s="37"/>
      <c r="C198" s="37"/>
      <c r="D198" s="11"/>
      <c r="E198" s="11"/>
      <c r="F198" s="11"/>
      <c r="G198" s="11"/>
      <c r="H198" s="35"/>
      <c r="I198" s="35"/>
      <c r="J198" s="35"/>
      <c r="K198" s="35"/>
      <c r="L198" s="35"/>
      <c r="M198" s="35"/>
      <c r="N198" s="35"/>
      <c r="O198" s="35"/>
      <c r="P198" s="35"/>
      <c r="Q198" s="35"/>
      <c r="R198" s="40"/>
      <c r="S198" s="35"/>
      <c r="T198" s="35"/>
    </row>
    <row r="199" spans="2:20" hidden="1" outlineLevel="1" x14ac:dyDescent="0.25">
      <c r="B199" s="37"/>
      <c r="C199" s="37"/>
      <c r="D199" s="11"/>
      <c r="E199" s="11"/>
      <c r="F199" s="11"/>
      <c r="G199" s="11"/>
      <c r="H199" s="35"/>
      <c r="I199" s="35"/>
      <c r="J199" s="35"/>
      <c r="K199" s="35"/>
      <c r="L199" s="35"/>
      <c r="M199" s="35"/>
      <c r="N199" s="35"/>
      <c r="O199" s="35"/>
      <c r="P199" s="35"/>
      <c r="Q199" s="35"/>
      <c r="R199" s="40"/>
      <c r="S199" s="35"/>
      <c r="T199" s="35"/>
    </row>
    <row r="200" spans="2:20" hidden="1" outlineLevel="1" x14ac:dyDescent="0.25">
      <c r="B200" s="37"/>
      <c r="C200" s="37"/>
      <c r="D200" s="11"/>
      <c r="E200" s="11"/>
      <c r="F200" s="11"/>
      <c r="G200" s="11"/>
      <c r="H200" s="35"/>
      <c r="I200" s="35"/>
      <c r="J200" s="35"/>
      <c r="K200" s="35"/>
      <c r="L200" s="35"/>
      <c r="M200" s="35"/>
      <c r="N200" s="35"/>
      <c r="O200" s="35"/>
      <c r="P200" s="35"/>
      <c r="Q200" s="35"/>
      <c r="R200" s="40"/>
      <c r="S200" s="35"/>
      <c r="T200" s="35"/>
    </row>
    <row r="201" spans="2:20" hidden="1" outlineLevel="1" x14ac:dyDescent="0.25">
      <c r="B201" s="37"/>
      <c r="C201" s="37"/>
      <c r="D201" s="11"/>
      <c r="E201" s="11"/>
      <c r="F201" s="11"/>
      <c r="G201" s="11"/>
      <c r="H201" s="35"/>
      <c r="I201" s="35"/>
      <c r="J201" s="35"/>
      <c r="K201" s="35"/>
      <c r="L201" s="35"/>
      <c r="M201" s="35"/>
      <c r="N201" s="35"/>
      <c r="O201" s="35"/>
      <c r="P201" s="35"/>
      <c r="Q201" s="35"/>
      <c r="R201" s="40"/>
      <c r="S201" s="35"/>
      <c r="T201" s="35"/>
    </row>
    <row r="202" spans="2:20" hidden="1" outlineLevel="1" x14ac:dyDescent="0.25">
      <c r="B202" s="37"/>
      <c r="C202" s="37"/>
      <c r="D202" s="11"/>
      <c r="E202" s="11"/>
      <c r="F202" s="11"/>
      <c r="G202" s="11"/>
      <c r="H202" s="35"/>
      <c r="I202" s="35"/>
      <c r="J202" s="35"/>
      <c r="K202" s="35"/>
      <c r="L202" s="35"/>
      <c r="M202" s="35"/>
      <c r="N202" s="35"/>
      <c r="O202" s="35"/>
      <c r="P202" s="35"/>
      <c r="Q202" s="35"/>
      <c r="R202" s="40"/>
      <c r="S202" s="35"/>
      <c r="T202" s="35"/>
    </row>
    <row r="203" spans="2:20" hidden="1" outlineLevel="1" x14ac:dyDescent="0.25">
      <c r="B203" s="38"/>
      <c r="C203" s="38"/>
      <c r="D203" s="3"/>
      <c r="E203" s="3"/>
      <c r="F203" s="3"/>
      <c r="G203" s="3"/>
      <c r="H203" s="35"/>
      <c r="I203" s="35"/>
      <c r="J203" s="35"/>
      <c r="K203" s="35"/>
      <c r="L203" s="35"/>
      <c r="M203" s="35"/>
      <c r="N203" s="35"/>
      <c r="O203" s="35"/>
      <c r="P203" s="35"/>
      <c r="Q203" s="35"/>
      <c r="R203" s="40"/>
      <c r="S203" s="35"/>
      <c r="T203" s="35"/>
    </row>
    <row r="204" spans="2:20" hidden="1" outlineLevel="1" x14ac:dyDescent="0.25">
      <c r="B204" s="38"/>
      <c r="C204" s="38"/>
      <c r="D204" s="3"/>
      <c r="E204" s="3"/>
      <c r="F204" s="3"/>
      <c r="G204" s="3"/>
      <c r="H204" s="35"/>
      <c r="I204" s="35"/>
      <c r="J204" s="35"/>
      <c r="K204" s="35"/>
      <c r="L204" s="35"/>
      <c r="M204" s="35"/>
      <c r="N204" s="35"/>
      <c r="O204" s="35"/>
      <c r="P204" s="35"/>
      <c r="Q204" s="35"/>
      <c r="R204" s="40"/>
      <c r="S204" s="35"/>
      <c r="T204" s="35"/>
    </row>
    <row r="205" spans="2:20" hidden="1" outlineLevel="1" x14ac:dyDescent="0.25">
      <c r="B205" s="38"/>
      <c r="C205" s="38"/>
      <c r="D205" s="3"/>
      <c r="E205" s="3"/>
      <c r="F205" s="3"/>
      <c r="G205" s="3"/>
      <c r="H205" s="35"/>
      <c r="I205" s="35"/>
      <c r="J205" s="35"/>
      <c r="K205" s="35"/>
      <c r="L205" s="35"/>
      <c r="M205" s="35"/>
      <c r="N205" s="35"/>
      <c r="O205" s="35"/>
      <c r="P205" s="35"/>
      <c r="Q205" s="35"/>
      <c r="R205" s="40"/>
      <c r="S205" s="35"/>
      <c r="T205" s="35"/>
    </row>
    <row r="206" spans="2:20" hidden="1" collapsed="1" x14ac:dyDescent="0.25">
      <c r="B206" s="38"/>
      <c r="C206" s="38"/>
      <c r="D206" s="3"/>
      <c r="E206" s="3"/>
      <c r="F206" s="3"/>
      <c r="G206" s="3"/>
      <c r="H206" s="35"/>
      <c r="I206" s="35"/>
      <c r="J206" s="35"/>
      <c r="K206" s="35"/>
      <c r="L206" s="35"/>
      <c r="M206" s="35"/>
      <c r="N206" s="35"/>
      <c r="O206" s="35"/>
      <c r="P206" s="35"/>
      <c r="Q206" s="35"/>
      <c r="R206" s="40"/>
      <c r="S206" s="35"/>
      <c r="T206" s="35"/>
    </row>
    <row r="207" spans="2:20" x14ac:dyDescent="0.25">
      <c r="B207" s="70"/>
      <c r="C207" s="70"/>
      <c r="H207" s="71"/>
      <c r="I207" s="71"/>
      <c r="J207" s="71"/>
      <c r="K207" s="71"/>
      <c r="L207" s="71"/>
      <c r="M207" s="71"/>
      <c r="N207" s="71"/>
      <c r="O207" s="71"/>
      <c r="P207" s="71"/>
      <c r="Q207" s="71"/>
      <c r="R207" s="71"/>
      <c r="S207" s="71"/>
      <c r="T207" s="71"/>
    </row>
    <row r="208" spans="2:20" s="56" customFormat="1" collapsed="1" x14ac:dyDescent="0.25">
      <c r="B208" s="56" t="s">
        <v>188</v>
      </c>
    </row>
    <row r="210" spans="2:23" ht="16.5" customHeight="1" x14ac:dyDescent="0.3">
      <c r="B210" s="46" t="s">
        <v>189</v>
      </c>
      <c r="C210" s="46" t="s">
        <v>114</v>
      </c>
      <c r="D210" s="46" t="s">
        <v>115</v>
      </c>
      <c r="E210" s="46" t="s">
        <v>116</v>
      </c>
      <c r="F210" s="46" t="s">
        <v>117</v>
      </c>
      <c r="G210" s="46" t="s">
        <v>118</v>
      </c>
      <c r="H210" s="46" t="s">
        <v>190</v>
      </c>
      <c r="I210" s="46" t="s">
        <v>191</v>
      </c>
      <c r="J210" s="46" t="s">
        <v>192</v>
      </c>
      <c r="K210" s="46" t="s">
        <v>193</v>
      </c>
      <c r="L210" s="46" t="s">
        <v>132</v>
      </c>
      <c r="M210" s="46" t="s">
        <v>134</v>
      </c>
      <c r="N210" s="46" t="s">
        <v>194</v>
      </c>
      <c r="O210" s="46" t="s">
        <v>195</v>
      </c>
      <c r="P210" s="46" t="s">
        <v>196</v>
      </c>
      <c r="Q210" s="46" t="s">
        <v>197</v>
      </c>
      <c r="R210" s="46" t="s">
        <v>198</v>
      </c>
      <c r="V210" s="72"/>
      <c r="W210" s="72"/>
    </row>
    <row r="211" spans="2:23" hidden="1" x14ac:dyDescent="0.25">
      <c r="B211" s="42"/>
      <c r="C211" s="73"/>
      <c r="D211" s="43"/>
      <c r="E211" s="43"/>
      <c r="F211" s="43"/>
      <c r="G211" s="43"/>
      <c r="H211" s="35" t="s">
        <v>188</v>
      </c>
      <c r="I211" s="35" t="s">
        <v>147</v>
      </c>
      <c r="J211" s="35">
        <v>5</v>
      </c>
      <c r="K211" s="35">
        <v>1</v>
      </c>
      <c r="L211" s="35" t="s">
        <v>145</v>
      </c>
      <c r="M211" s="45" t="s">
        <v>155</v>
      </c>
      <c r="N211" s="35">
        <v>1</v>
      </c>
      <c r="O211" s="35" t="s">
        <v>101</v>
      </c>
      <c r="P211" s="35" t="s">
        <v>101</v>
      </c>
      <c r="Q211" s="43">
        <v>5000</v>
      </c>
      <c r="R211" s="43">
        <v>5000</v>
      </c>
      <c r="V211" s="26"/>
      <c r="W211" s="26"/>
    </row>
    <row r="212" spans="2:23" hidden="1" x14ac:dyDescent="0.25">
      <c r="B212" s="37"/>
      <c r="C212" s="37"/>
      <c r="D212" s="11"/>
      <c r="E212" s="11"/>
      <c r="F212" s="11"/>
      <c r="G212" s="11"/>
      <c r="H212" s="35" t="s">
        <v>188</v>
      </c>
      <c r="I212" s="35" t="s">
        <v>147</v>
      </c>
      <c r="J212" s="35">
        <v>5</v>
      </c>
      <c r="K212" s="35">
        <v>1</v>
      </c>
      <c r="L212" s="35" t="s">
        <v>145</v>
      </c>
      <c r="M212" s="45" t="s">
        <v>155</v>
      </c>
      <c r="N212" s="35">
        <v>1</v>
      </c>
      <c r="O212" s="35"/>
      <c r="P212" s="35"/>
      <c r="Q212" s="11">
        <v>5000</v>
      </c>
      <c r="R212" s="11">
        <v>5000</v>
      </c>
      <c r="V212" s="26"/>
      <c r="W212" s="26"/>
    </row>
    <row r="213" spans="2:23" hidden="1" x14ac:dyDescent="0.25">
      <c r="B213" s="37"/>
      <c r="C213" s="37"/>
      <c r="D213" s="11"/>
      <c r="E213" s="11"/>
      <c r="F213" s="11"/>
      <c r="G213" s="11"/>
      <c r="H213" s="35"/>
      <c r="I213" s="35"/>
      <c r="J213" s="35"/>
      <c r="K213" s="35"/>
      <c r="L213" s="35"/>
      <c r="M213" s="35"/>
      <c r="N213" s="35"/>
      <c r="O213" s="35"/>
      <c r="P213" s="35"/>
      <c r="Q213" s="11">
        <v>5000000</v>
      </c>
      <c r="R213" s="11">
        <v>5000000</v>
      </c>
      <c r="V213" s="26"/>
      <c r="W213" s="26"/>
    </row>
    <row r="214" spans="2:23" hidden="1" x14ac:dyDescent="0.25">
      <c r="B214" s="37"/>
      <c r="C214" s="37"/>
      <c r="D214" s="11"/>
      <c r="E214" s="11"/>
      <c r="F214" s="11"/>
      <c r="G214" s="11"/>
      <c r="H214" s="35"/>
      <c r="I214" s="35"/>
      <c r="J214" s="35"/>
      <c r="K214" s="35"/>
      <c r="L214" s="35"/>
      <c r="M214" s="35"/>
      <c r="N214" s="35"/>
      <c r="O214" s="35"/>
      <c r="P214" s="35"/>
      <c r="Q214" s="11"/>
      <c r="R214" s="11"/>
      <c r="V214" s="26"/>
      <c r="W214" s="26"/>
    </row>
    <row r="215" spans="2:23" hidden="1" x14ac:dyDescent="0.25">
      <c r="B215" s="37"/>
      <c r="C215" s="37"/>
      <c r="D215" s="11"/>
      <c r="E215" s="11"/>
      <c r="F215" s="11"/>
      <c r="G215" s="11"/>
      <c r="H215" s="35"/>
      <c r="I215" s="35"/>
      <c r="J215" s="35"/>
      <c r="K215" s="35"/>
      <c r="L215" s="35"/>
      <c r="M215" s="35"/>
      <c r="N215" s="35"/>
      <c r="O215" s="35"/>
      <c r="P215" s="35"/>
      <c r="Q215" s="11"/>
      <c r="R215" s="11"/>
      <c r="V215" s="26"/>
      <c r="W215" s="26"/>
    </row>
    <row r="216" spans="2:23" hidden="1" x14ac:dyDescent="0.25">
      <c r="B216" s="37"/>
      <c r="C216" s="37"/>
      <c r="D216" s="11"/>
      <c r="E216" s="11"/>
      <c r="F216" s="11"/>
      <c r="G216" s="11"/>
      <c r="H216" s="35"/>
      <c r="I216" s="35"/>
      <c r="J216" s="35"/>
      <c r="K216" s="35"/>
      <c r="L216" s="35"/>
      <c r="M216" s="35"/>
      <c r="N216" s="35"/>
      <c r="O216" s="35"/>
      <c r="P216" s="35"/>
      <c r="Q216" s="11"/>
      <c r="R216" s="11"/>
      <c r="V216" s="26"/>
      <c r="W216" s="26"/>
    </row>
    <row r="217" spans="2:23" hidden="1" x14ac:dyDescent="0.25">
      <c r="B217" s="37"/>
      <c r="C217" s="37"/>
      <c r="D217" s="11"/>
      <c r="E217" s="11"/>
      <c r="F217" s="11"/>
      <c r="G217" s="11"/>
      <c r="H217" s="35"/>
      <c r="I217" s="35"/>
      <c r="J217" s="35"/>
      <c r="K217" s="35"/>
      <c r="L217" s="35"/>
      <c r="M217" s="35"/>
      <c r="N217" s="35"/>
      <c r="O217" s="35"/>
      <c r="P217" s="35"/>
      <c r="Q217" s="11"/>
      <c r="R217" s="11"/>
      <c r="V217" s="26"/>
      <c r="W217" s="26"/>
    </row>
    <row r="218" spans="2:23" hidden="1" x14ac:dyDescent="0.25">
      <c r="B218" s="37"/>
      <c r="C218" s="37"/>
      <c r="D218" s="11"/>
      <c r="E218" s="11"/>
      <c r="F218" s="11"/>
      <c r="G218" s="11"/>
      <c r="H218" s="35"/>
      <c r="I218" s="35"/>
      <c r="J218" s="35"/>
      <c r="K218" s="35"/>
      <c r="L218" s="35"/>
      <c r="M218" s="35"/>
      <c r="N218" s="35"/>
      <c r="O218" s="35"/>
      <c r="P218" s="35"/>
      <c r="Q218" s="11"/>
      <c r="R218" s="11"/>
      <c r="V218" s="26"/>
      <c r="W218" s="26"/>
    </row>
    <row r="219" spans="2:23" hidden="1" x14ac:dyDescent="0.25">
      <c r="B219" s="37"/>
      <c r="C219" s="37"/>
      <c r="D219" s="11"/>
      <c r="E219" s="11"/>
      <c r="F219" s="11"/>
      <c r="G219" s="11"/>
      <c r="H219" s="35"/>
      <c r="I219" s="35"/>
      <c r="J219" s="35"/>
      <c r="K219" s="35"/>
      <c r="L219" s="35"/>
      <c r="M219" s="35"/>
      <c r="N219" s="35"/>
      <c r="O219" s="35"/>
      <c r="P219" s="35"/>
      <c r="Q219" s="11"/>
      <c r="R219" s="11"/>
      <c r="V219" s="26"/>
      <c r="W219" s="26"/>
    </row>
    <row r="220" spans="2:23" hidden="1" x14ac:dyDescent="0.25">
      <c r="B220" s="37"/>
      <c r="C220" s="37"/>
      <c r="D220" s="11"/>
      <c r="E220" s="11"/>
      <c r="F220" s="11"/>
      <c r="G220" s="11"/>
      <c r="H220" s="35"/>
      <c r="I220" s="35"/>
      <c r="J220" s="35"/>
      <c r="K220" s="35"/>
      <c r="L220" s="35"/>
      <c r="M220" s="35"/>
      <c r="N220" s="35"/>
      <c r="O220" s="35"/>
      <c r="P220" s="35"/>
      <c r="Q220" s="11"/>
      <c r="R220" s="11"/>
      <c r="V220" s="26"/>
      <c r="W220" s="26"/>
    </row>
    <row r="221" spans="2:23" hidden="1" x14ac:dyDescent="0.25">
      <c r="B221" s="37"/>
      <c r="C221" s="37"/>
      <c r="D221" s="11"/>
      <c r="E221" s="11"/>
      <c r="F221" s="11"/>
      <c r="G221" s="11"/>
      <c r="H221" s="35"/>
      <c r="I221" s="35"/>
      <c r="J221" s="35"/>
      <c r="K221" s="35"/>
      <c r="L221" s="35"/>
      <c r="M221" s="35"/>
      <c r="N221" s="35"/>
      <c r="O221" s="35"/>
      <c r="P221" s="35"/>
      <c r="Q221" s="11"/>
      <c r="R221" s="11"/>
      <c r="V221" s="26"/>
      <c r="W221" s="26"/>
    </row>
    <row r="222" spans="2:23" hidden="1" x14ac:dyDescent="0.25">
      <c r="B222" s="37"/>
      <c r="C222" s="37"/>
      <c r="D222" s="11"/>
      <c r="E222" s="11"/>
      <c r="F222" s="11"/>
      <c r="G222" s="11"/>
      <c r="H222" s="35"/>
      <c r="I222" s="35"/>
      <c r="J222" s="35"/>
      <c r="K222" s="35"/>
      <c r="L222" s="35"/>
      <c r="M222" s="35"/>
      <c r="N222" s="35"/>
      <c r="O222" s="35"/>
      <c r="P222" s="35"/>
      <c r="Q222" s="11"/>
      <c r="R222" s="11"/>
      <c r="V222" s="26"/>
      <c r="W222" s="26"/>
    </row>
    <row r="223" spans="2:23" hidden="1" x14ac:dyDescent="0.25">
      <c r="B223" s="37"/>
      <c r="C223" s="37"/>
      <c r="D223" s="11"/>
      <c r="E223" s="11"/>
      <c r="F223" s="11"/>
      <c r="G223" s="11"/>
      <c r="H223" s="35"/>
      <c r="I223" s="35"/>
      <c r="J223" s="35"/>
      <c r="K223" s="35"/>
      <c r="L223" s="35"/>
      <c r="M223" s="35"/>
      <c r="N223" s="35"/>
      <c r="O223" s="35"/>
      <c r="P223" s="35"/>
      <c r="Q223" s="11"/>
      <c r="R223" s="11"/>
      <c r="V223" s="26"/>
      <c r="W223" s="26"/>
    </row>
    <row r="224" spans="2:23" hidden="1" x14ac:dyDescent="0.25">
      <c r="B224" s="37"/>
      <c r="C224" s="37"/>
      <c r="D224" s="11"/>
      <c r="E224" s="11"/>
      <c r="F224" s="11"/>
      <c r="G224" s="11"/>
      <c r="H224" s="35"/>
      <c r="I224" s="35"/>
      <c r="J224" s="35"/>
      <c r="K224" s="35"/>
      <c r="L224" s="35"/>
      <c r="M224" s="35"/>
      <c r="N224" s="35"/>
      <c r="O224" s="35"/>
      <c r="P224" s="35"/>
      <c r="Q224" s="11"/>
      <c r="R224" s="11"/>
      <c r="V224" s="26"/>
      <c r="W224" s="26"/>
    </row>
    <row r="225" spans="2:28" hidden="1" x14ac:dyDescent="0.25">
      <c r="B225" s="37"/>
      <c r="C225" s="37"/>
      <c r="D225" s="11"/>
      <c r="E225" s="11"/>
      <c r="F225" s="11"/>
      <c r="G225" s="11"/>
      <c r="H225" s="35"/>
      <c r="I225" s="35"/>
      <c r="J225" s="35"/>
      <c r="K225" s="35"/>
      <c r="L225" s="35"/>
      <c r="M225" s="35"/>
      <c r="N225" s="35"/>
      <c r="O225" s="35"/>
      <c r="P225" s="35"/>
      <c r="Q225" s="11"/>
      <c r="R225" s="11"/>
      <c r="V225" s="26"/>
      <c r="W225" s="26"/>
    </row>
    <row r="226" spans="2:28" hidden="1" x14ac:dyDescent="0.25">
      <c r="B226" s="37"/>
      <c r="C226" s="37"/>
      <c r="D226" s="11"/>
      <c r="E226" s="11"/>
      <c r="F226" s="11"/>
      <c r="G226" s="11"/>
      <c r="H226" s="35"/>
      <c r="I226" s="35"/>
      <c r="J226" s="35"/>
      <c r="K226" s="35"/>
      <c r="L226" s="35"/>
      <c r="M226" s="35"/>
      <c r="N226" s="35"/>
      <c r="O226" s="35"/>
      <c r="P226" s="35"/>
      <c r="Q226" s="11"/>
      <c r="R226" s="11"/>
      <c r="V226" s="26"/>
      <c r="W226" s="26"/>
    </row>
    <row r="227" spans="2:28" hidden="1" x14ac:dyDescent="0.25">
      <c r="B227" s="37"/>
      <c r="C227" s="37"/>
      <c r="D227" s="11"/>
      <c r="E227" s="11"/>
      <c r="F227" s="11"/>
      <c r="G227" s="11"/>
      <c r="H227" s="35"/>
      <c r="I227" s="35"/>
      <c r="J227" s="35"/>
      <c r="K227" s="35"/>
      <c r="L227" s="35"/>
      <c r="M227" s="35"/>
      <c r="N227" s="35"/>
      <c r="O227" s="35"/>
      <c r="P227" s="35"/>
      <c r="Q227" s="11"/>
      <c r="R227" s="11"/>
      <c r="V227" s="26"/>
      <c r="W227" s="26"/>
    </row>
    <row r="228" spans="2:28" hidden="1" x14ac:dyDescent="0.25">
      <c r="B228" s="37"/>
      <c r="C228" s="37"/>
      <c r="D228" s="11"/>
      <c r="E228" s="11"/>
      <c r="F228" s="11"/>
      <c r="G228" s="11"/>
      <c r="H228" s="35"/>
      <c r="I228" s="35"/>
      <c r="J228" s="35"/>
      <c r="K228" s="35"/>
      <c r="L228" s="35"/>
      <c r="M228" s="35"/>
      <c r="N228" s="35"/>
      <c r="O228" s="35"/>
      <c r="P228" s="35"/>
      <c r="Q228" s="11"/>
      <c r="R228" s="11"/>
      <c r="V228" s="26"/>
      <c r="W228" s="26"/>
    </row>
    <row r="229" spans="2:28" hidden="1" x14ac:dyDescent="0.25">
      <c r="B229" s="37"/>
      <c r="C229" s="37"/>
      <c r="D229" s="11"/>
      <c r="E229" s="11"/>
      <c r="F229" s="11"/>
      <c r="G229" s="11"/>
      <c r="H229" s="35"/>
      <c r="I229" s="35"/>
      <c r="J229" s="35"/>
      <c r="K229" s="35"/>
      <c r="L229" s="35"/>
      <c r="M229" s="35"/>
      <c r="N229" s="35"/>
      <c r="O229" s="35"/>
      <c r="P229" s="35"/>
      <c r="Q229" s="11"/>
      <c r="R229" s="11"/>
      <c r="V229" s="26"/>
      <c r="W229" s="26"/>
    </row>
    <row r="230" spans="2:28" hidden="1" x14ac:dyDescent="0.25">
      <c r="B230" s="37"/>
      <c r="C230" s="37"/>
      <c r="D230" s="11"/>
      <c r="E230" s="11"/>
      <c r="F230" s="11"/>
      <c r="G230" s="11"/>
      <c r="H230" s="35"/>
      <c r="I230" s="35"/>
      <c r="J230" s="35"/>
      <c r="K230" s="35"/>
      <c r="L230" s="35"/>
      <c r="M230" s="35"/>
      <c r="N230" s="35"/>
      <c r="O230" s="35"/>
      <c r="P230" s="35"/>
      <c r="Q230" s="11"/>
      <c r="R230" s="11"/>
      <c r="V230" s="26"/>
      <c r="W230" s="26"/>
    </row>
    <row r="232" spans="2:28" s="56" customFormat="1" x14ac:dyDescent="0.25">
      <c r="B232" s="56" t="s">
        <v>199</v>
      </c>
    </row>
    <row r="233" spans="2:28" x14ac:dyDescent="0.25">
      <c r="H233" t="s">
        <v>200</v>
      </c>
      <c r="I233" s="35">
        <v>100</v>
      </c>
      <c r="Q233" t="s">
        <v>200</v>
      </c>
      <c r="R233" s="35">
        <v>125</v>
      </c>
      <c r="Y233" t="s">
        <v>200</v>
      </c>
      <c r="Z233" s="35">
        <v>125</v>
      </c>
    </row>
    <row r="234" spans="2:28" ht="16.5" customHeight="1" x14ac:dyDescent="0.3">
      <c r="B234" s="46" t="s">
        <v>201</v>
      </c>
      <c r="C234" s="46" t="s">
        <v>114</v>
      </c>
      <c r="D234" s="46" t="s">
        <v>115</v>
      </c>
      <c r="E234" s="46" t="s">
        <v>116</v>
      </c>
      <c r="F234" s="46" t="s">
        <v>117</v>
      </c>
      <c r="G234" s="46" t="s">
        <v>118</v>
      </c>
      <c r="H234" s="46" t="s">
        <v>202</v>
      </c>
      <c r="I234" s="46" t="s">
        <v>203</v>
      </c>
      <c r="J234" s="46" t="s">
        <v>204</v>
      </c>
      <c r="K234" s="46" t="s">
        <v>204</v>
      </c>
      <c r="M234" s="46" t="s">
        <v>205</v>
      </c>
      <c r="N234" s="46" t="s">
        <v>114</v>
      </c>
      <c r="O234" s="46" t="s">
        <v>115</v>
      </c>
      <c r="P234" s="46" t="s">
        <v>116</v>
      </c>
      <c r="Q234" s="46" t="s">
        <v>117</v>
      </c>
      <c r="R234" s="46" t="s">
        <v>118</v>
      </c>
      <c r="S234" s="46" t="s">
        <v>206</v>
      </c>
      <c r="U234" s="46" t="s">
        <v>207</v>
      </c>
      <c r="V234" s="46" t="s">
        <v>114</v>
      </c>
      <c r="W234" s="46" t="s">
        <v>115</v>
      </c>
      <c r="X234" s="46" t="s">
        <v>116</v>
      </c>
      <c r="Y234" s="46" t="s">
        <v>117</v>
      </c>
      <c r="Z234" s="46" t="s">
        <v>118</v>
      </c>
      <c r="AA234" s="46" t="s">
        <v>208</v>
      </c>
    </row>
    <row r="235" spans="2:28" x14ac:dyDescent="0.25">
      <c r="B235" s="3" t="s">
        <v>209</v>
      </c>
      <c r="C235" s="3" t="s">
        <v>210</v>
      </c>
      <c r="D235" s="3">
        <v>44.820999999999998</v>
      </c>
      <c r="E235" s="3">
        <v>18</v>
      </c>
      <c r="F235" s="3">
        <v>51.429000000000002</v>
      </c>
      <c r="G235" s="3">
        <v>20</v>
      </c>
      <c r="H235" s="3" t="s">
        <v>210</v>
      </c>
      <c r="I235" s="3">
        <v>1</v>
      </c>
      <c r="J235" s="4" t="s">
        <v>100</v>
      </c>
      <c r="K235" s="4"/>
      <c r="M235" s="3" t="s">
        <v>211</v>
      </c>
      <c r="N235" s="3" t="s">
        <v>212</v>
      </c>
      <c r="O235" s="3">
        <v>1</v>
      </c>
      <c r="P235" s="3">
        <v>5</v>
      </c>
      <c r="Q235" s="3">
        <v>1</v>
      </c>
      <c r="R235" s="3">
        <v>-15</v>
      </c>
      <c r="S235" s="3">
        <v>1</v>
      </c>
      <c r="U235" s="3" t="s">
        <v>216</v>
      </c>
      <c r="V235" s="3" t="s">
        <v>217</v>
      </c>
      <c r="W235" s="3">
        <v>0</v>
      </c>
      <c r="X235" s="3">
        <v>21</v>
      </c>
      <c r="Y235" s="3">
        <v>0</v>
      </c>
      <c r="Z235" s="3">
        <v>-50</v>
      </c>
      <c r="AA235" s="3"/>
      <c r="AB235">
        <v>1</v>
      </c>
    </row>
    <row r="236" spans="2:28" x14ac:dyDescent="0.25">
      <c r="B236" s="3" t="s">
        <v>209</v>
      </c>
      <c r="C236" s="3" t="s">
        <v>210</v>
      </c>
      <c r="D236" s="3">
        <v>51.429000000000002</v>
      </c>
      <c r="E236" s="3">
        <v>20</v>
      </c>
      <c r="F236" s="3">
        <v>76.33</v>
      </c>
      <c r="G236" s="3">
        <v>20</v>
      </c>
      <c r="H236" s="3" t="s">
        <v>210</v>
      </c>
      <c r="I236" s="3">
        <v>1</v>
      </c>
      <c r="J236" s="4" t="s">
        <v>100</v>
      </c>
      <c r="K236" s="4"/>
      <c r="M236" s="3" t="s">
        <v>213</v>
      </c>
      <c r="N236" s="3" t="s">
        <v>212</v>
      </c>
      <c r="O236" s="3">
        <v>2</v>
      </c>
      <c r="P236" s="3">
        <v>5</v>
      </c>
      <c r="Q236" s="3">
        <v>2</v>
      </c>
      <c r="R236" s="3">
        <v>-15</v>
      </c>
      <c r="S236" s="3">
        <v>2</v>
      </c>
      <c r="U236" s="3" t="s">
        <v>220</v>
      </c>
      <c r="V236" s="3" t="s">
        <v>217</v>
      </c>
      <c r="W236" s="3">
        <v>0</v>
      </c>
      <c r="X236" s="3">
        <v>-50</v>
      </c>
      <c r="Y236" s="3">
        <v>250</v>
      </c>
      <c r="Z236" s="3">
        <v>-50</v>
      </c>
      <c r="AA236" s="3"/>
      <c r="AB236">
        <v>2</v>
      </c>
    </row>
    <row r="237" spans="2:28" x14ac:dyDescent="0.25">
      <c r="B237" s="3" t="s">
        <v>209</v>
      </c>
      <c r="C237" s="3" t="s">
        <v>210</v>
      </c>
      <c r="D237" s="3">
        <v>76.33</v>
      </c>
      <c r="E237" s="3">
        <v>20</v>
      </c>
      <c r="F237" s="3">
        <v>82.248000000000005</v>
      </c>
      <c r="G237" s="3">
        <v>18</v>
      </c>
      <c r="H237" s="3" t="s">
        <v>210</v>
      </c>
      <c r="I237" s="3">
        <v>1</v>
      </c>
      <c r="J237" s="4" t="s">
        <v>100</v>
      </c>
      <c r="K237" s="4"/>
      <c r="M237" s="3" t="s">
        <v>214</v>
      </c>
      <c r="N237" s="3" t="s">
        <v>212</v>
      </c>
      <c r="O237" s="3">
        <v>3</v>
      </c>
      <c r="P237" s="3">
        <v>5</v>
      </c>
      <c r="Q237" s="3">
        <v>3</v>
      </c>
      <c r="R237" s="3">
        <v>-15</v>
      </c>
      <c r="S237" s="3">
        <v>3</v>
      </c>
      <c r="U237" s="3"/>
      <c r="V237" s="3"/>
      <c r="W237" s="3"/>
      <c r="X237" s="3"/>
      <c r="Y237" s="3"/>
      <c r="Z237" s="3"/>
      <c r="AA237" s="3"/>
    </row>
    <row r="238" spans="2:28" x14ac:dyDescent="0.25">
      <c r="B238" s="3" t="s">
        <v>209</v>
      </c>
      <c r="C238" s="3" t="s">
        <v>210</v>
      </c>
      <c r="D238" s="3">
        <v>82.248000000000005</v>
      </c>
      <c r="E238" s="3">
        <v>18</v>
      </c>
      <c r="F238" s="3">
        <v>44.820999999999998</v>
      </c>
      <c r="G238" s="3">
        <v>18</v>
      </c>
      <c r="H238" s="3" t="s">
        <v>210</v>
      </c>
      <c r="I238" s="3">
        <v>1</v>
      </c>
      <c r="J238" s="4" t="s">
        <v>100</v>
      </c>
      <c r="K238" s="4"/>
      <c r="M238" s="3" t="s">
        <v>215</v>
      </c>
      <c r="N238" s="3" t="s">
        <v>212</v>
      </c>
      <c r="O238" s="3">
        <v>4</v>
      </c>
      <c r="P238" s="3">
        <v>5</v>
      </c>
      <c r="Q238" s="3">
        <v>4</v>
      </c>
      <c r="R238" s="3">
        <v>-15</v>
      </c>
      <c r="S238" s="3">
        <v>4</v>
      </c>
      <c r="U238" s="3"/>
      <c r="V238" s="3"/>
      <c r="W238" s="3"/>
      <c r="X238" s="3"/>
      <c r="Y238" s="3"/>
      <c r="Z238" s="3"/>
      <c r="AA238" s="3"/>
    </row>
    <row r="239" spans="2:28" x14ac:dyDescent="0.25">
      <c r="B239" s="3" t="s">
        <v>218</v>
      </c>
      <c r="C239" s="3" t="s">
        <v>210</v>
      </c>
      <c r="D239" s="3">
        <v>0</v>
      </c>
      <c r="E239" s="3">
        <v>16</v>
      </c>
      <c r="F239" s="3">
        <v>96.546999999999997</v>
      </c>
      <c r="G239" s="3">
        <v>16</v>
      </c>
      <c r="H239" s="3" t="s">
        <v>210</v>
      </c>
      <c r="I239" s="3">
        <v>2</v>
      </c>
      <c r="J239" s="4" t="s">
        <v>100</v>
      </c>
      <c r="K239" s="4"/>
      <c r="M239" s="3" t="s">
        <v>219</v>
      </c>
      <c r="N239" s="3" t="s">
        <v>212</v>
      </c>
      <c r="O239" s="3">
        <v>5</v>
      </c>
      <c r="P239" s="3">
        <v>5</v>
      </c>
      <c r="Q239" s="3">
        <v>5</v>
      </c>
      <c r="R239" s="3">
        <v>-15</v>
      </c>
      <c r="S239" s="3">
        <v>5</v>
      </c>
      <c r="U239" s="3"/>
      <c r="V239" s="3"/>
      <c r="W239" s="3"/>
      <c r="X239" s="3"/>
      <c r="Y239" s="3"/>
      <c r="Z239" s="3"/>
      <c r="AA239" s="3"/>
    </row>
    <row r="240" spans="2:28" x14ac:dyDescent="0.25">
      <c r="B240" s="3" t="s">
        <v>218</v>
      </c>
      <c r="C240" s="3" t="s">
        <v>210</v>
      </c>
      <c r="D240" s="3">
        <v>96.546999999999997</v>
      </c>
      <c r="E240" s="3">
        <v>16</v>
      </c>
      <c r="F240" s="3">
        <v>82.762</v>
      </c>
      <c r="G240" s="3">
        <v>21</v>
      </c>
      <c r="H240" s="3" t="s">
        <v>210</v>
      </c>
      <c r="I240" s="3">
        <v>2</v>
      </c>
      <c r="J240" s="4" t="s">
        <v>100</v>
      </c>
      <c r="K240" s="4"/>
      <c r="M240" s="3" t="s">
        <v>221</v>
      </c>
      <c r="N240" s="3" t="s">
        <v>212</v>
      </c>
      <c r="O240" s="3">
        <v>6</v>
      </c>
      <c r="P240" s="3">
        <v>5</v>
      </c>
      <c r="Q240" s="3">
        <v>6</v>
      </c>
      <c r="R240" s="3">
        <v>-15</v>
      </c>
      <c r="S240" s="3">
        <v>6</v>
      </c>
      <c r="U240" s="3"/>
      <c r="V240" s="3"/>
      <c r="W240" s="3"/>
      <c r="X240" s="3"/>
      <c r="Y240" s="3"/>
      <c r="Z240" s="3"/>
      <c r="AA240" s="3"/>
    </row>
    <row r="241" spans="2:27" x14ac:dyDescent="0.25">
      <c r="B241" s="3" t="s">
        <v>218</v>
      </c>
      <c r="C241" s="3" t="s">
        <v>210</v>
      </c>
      <c r="D241" s="3">
        <v>82.762</v>
      </c>
      <c r="E241" s="3">
        <v>21</v>
      </c>
      <c r="F241" s="3">
        <v>0</v>
      </c>
      <c r="G241" s="3">
        <v>21</v>
      </c>
      <c r="H241" s="3" t="s">
        <v>210</v>
      </c>
      <c r="I241" s="3">
        <v>2</v>
      </c>
      <c r="J241" s="4" t="s">
        <v>100</v>
      </c>
      <c r="K241" s="4"/>
      <c r="M241" s="3" t="s">
        <v>222</v>
      </c>
      <c r="N241" s="3" t="s">
        <v>212</v>
      </c>
      <c r="O241" s="3">
        <v>7</v>
      </c>
      <c r="P241" s="3">
        <v>5</v>
      </c>
      <c r="Q241" s="3">
        <v>7</v>
      </c>
      <c r="R241" s="3">
        <v>-15</v>
      </c>
      <c r="S241" s="3">
        <v>7</v>
      </c>
      <c r="U241" s="3"/>
      <c r="V241" s="3"/>
      <c r="W241" s="3"/>
      <c r="X241" s="3"/>
      <c r="Y241" s="3"/>
      <c r="Z241" s="3"/>
      <c r="AA241" s="3"/>
    </row>
    <row r="242" spans="2:27" x14ac:dyDescent="0.25">
      <c r="B242" s="3" t="s">
        <v>218</v>
      </c>
      <c r="C242" s="3" t="s">
        <v>210</v>
      </c>
      <c r="D242" s="3">
        <v>0</v>
      </c>
      <c r="E242" s="3">
        <v>21</v>
      </c>
      <c r="F242" s="3">
        <v>0</v>
      </c>
      <c r="G242" s="3">
        <v>16</v>
      </c>
      <c r="H242" s="3" t="s">
        <v>210</v>
      </c>
      <c r="I242" s="3">
        <v>2</v>
      </c>
      <c r="J242" s="4" t="s">
        <v>100</v>
      </c>
      <c r="K242" s="4"/>
      <c r="M242" s="3" t="s">
        <v>223</v>
      </c>
      <c r="N242" s="3" t="s">
        <v>212</v>
      </c>
      <c r="O242" s="3">
        <v>8</v>
      </c>
      <c r="P242" s="3">
        <v>5</v>
      </c>
      <c r="Q242" s="3">
        <v>8</v>
      </c>
      <c r="R242" s="3">
        <v>-15</v>
      </c>
      <c r="S242" s="3">
        <v>8</v>
      </c>
      <c r="U242" s="3"/>
      <c r="V242" s="3"/>
      <c r="W242" s="3"/>
      <c r="X242" s="3"/>
      <c r="Y242" s="3"/>
      <c r="Z242" s="3"/>
      <c r="AA242" s="3"/>
    </row>
    <row r="243" spans="2:27" x14ac:dyDescent="0.25">
      <c r="B243" s="3" t="s">
        <v>224</v>
      </c>
      <c r="C243" s="3" t="s">
        <v>210</v>
      </c>
      <c r="D243" s="3">
        <v>38.213999999999999</v>
      </c>
      <c r="E243" s="3">
        <v>16</v>
      </c>
      <c r="F243" s="3">
        <v>44.820999999999998</v>
      </c>
      <c r="G243" s="3">
        <v>18</v>
      </c>
      <c r="H243" s="3" t="s">
        <v>210</v>
      </c>
      <c r="I243" s="3">
        <v>3</v>
      </c>
      <c r="J243" s="4" t="s">
        <v>100</v>
      </c>
      <c r="K243" s="4"/>
      <c r="M243" s="3" t="s">
        <v>225</v>
      </c>
      <c r="N243" s="3" t="s">
        <v>212</v>
      </c>
      <c r="O243" s="3">
        <v>9</v>
      </c>
      <c r="P243" s="3">
        <v>5</v>
      </c>
      <c r="Q243" s="3">
        <v>9</v>
      </c>
      <c r="R243" s="3">
        <v>-15</v>
      </c>
      <c r="S243" s="3">
        <v>9</v>
      </c>
      <c r="U243" s="3"/>
      <c r="V243" s="3"/>
      <c r="W243" s="3"/>
      <c r="X243" s="3"/>
      <c r="Y243" s="3"/>
      <c r="Z243" s="3"/>
      <c r="AA243" s="3"/>
    </row>
    <row r="244" spans="2:27" x14ac:dyDescent="0.25">
      <c r="B244" s="3" t="s">
        <v>224</v>
      </c>
      <c r="C244" s="3" t="s">
        <v>210</v>
      </c>
      <c r="D244" s="3">
        <v>44.820999999999998</v>
      </c>
      <c r="E244" s="3">
        <v>18</v>
      </c>
      <c r="F244" s="3">
        <v>82.248000000000005</v>
      </c>
      <c r="G244" s="3">
        <v>18</v>
      </c>
      <c r="H244" s="3" t="s">
        <v>210</v>
      </c>
      <c r="I244" s="3">
        <v>3</v>
      </c>
      <c r="J244" s="4" t="s">
        <v>100</v>
      </c>
      <c r="K244" s="4"/>
      <c r="M244" s="3" t="s">
        <v>226</v>
      </c>
      <c r="N244" s="3" t="s">
        <v>212</v>
      </c>
      <c r="O244" s="3">
        <v>10</v>
      </c>
      <c r="P244" s="3">
        <v>5</v>
      </c>
      <c r="Q244" s="3">
        <v>10</v>
      </c>
      <c r="R244" s="3">
        <v>-15</v>
      </c>
      <c r="S244" s="3">
        <v>10</v>
      </c>
      <c r="U244" s="3"/>
      <c r="V244" s="3"/>
      <c r="W244" s="3"/>
      <c r="X244" s="3"/>
      <c r="Y244" s="3"/>
      <c r="Z244" s="3"/>
      <c r="AA244" s="3"/>
    </row>
    <row r="245" spans="2:27" x14ac:dyDescent="0.25">
      <c r="B245" s="3" t="s">
        <v>224</v>
      </c>
      <c r="C245" s="3" t="s">
        <v>210</v>
      </c>
      <c r="D245" s="3">
        <v>82.248000000000005</v>
      </c>
      <c r="E245" s="3">
        <v>18</v>
      </c>
      <c r="F245" s="3">
        <v>88.165000000000006</v>
      </c>
      <c r="G245" s="3">
        <v>16</v>
      </c>
      <c r="H245" s="3" t="s">
        <v>210</v>
      </c>
      <c r="I245" s="3">
        <v>3</v>
      </c>
      <c r="J245" s="4" t="s">
        <v>100</v>
      </c>
      <c r="K245" s="4"/>
      <c r="M245" s="3" t="s">
        <v>227</v>
      </c>
      <c r="N245" s="3" t="s">
        <v>212</v>
      </c>
      <c r="O245" s="3">
        <v>11</v>
      </c>
      <c r="P245" s="3">
        <v>5</v>
      </c>
      <c r="Q245" s="3">
        <v>11</v>
      </c>
      <c r="R245" s="3">
        <v>-15</v>
      </c>
      <c r="S245" s="3">
        <v>11</v>
      </c>
      <c r="U245" s="3"/>
      <c r="V245" s="3"/>
      <c r="W245" s="3"/>
      <c r="X245" s="3"/>
      <c r="Y245" s="3"/>
      <c r="Z245" s="3"/>
      <c r="AA245" s="3"/>
    </row>
    <row r="246" spans="2:27" x14ac:dyDescent="0.25">
      <c r="B246" s="3" t="s">
        <v>224</v>
      </c>
      <c r="C246" s="3" t="s">
        <v>210</v>
      </c>
      <c r="D246" s="3">
        <v>88.165000000000006</v>
      </c>
      <c r="E246" s="3">
        <v>16</v>
      </c>
      <c r="F246" s="3">
        <v>38.213999999999999</v>
      </c>
      <c r="G246" s="3">
        <v>16</v>
      </c>
      <c r="H246" s="3" t="s">
        <v>210</v>
      </c>
      <c r="I246" s="3">
        <v>3</v>
      </c>
      <c r="J246" s="4" t="s">
        <v>100</v>
      </c>
      <c r="K246" s="4"/>
      <c r="M246" s="3" t="s">
        <v>228</v>
      </c>
      <c r="N246" s="3" t="s">
        <v>212</v>
      </c>
      <c r="O246" s="3">
        <v>12</v>
      </c>
      <c r="P246" s="3">
        <v>5</v>
      </c>
      <c r="Q246" s="3">
        <v>12</v>
      </c>
      <c r="R246" s="3">
        <v>-15</v>
      </c>
      <c r="S246" s="3">
        <v>12</v>
      </c>
    </row>
    <row r="247" spans="2:27" x14ac:dyDescent="0.25">
      <c r="B247" s="3" t="s">
        <v>229</v>
      </c>
      <c r="C247" s="3" t="s">
        <v>210</v>
      </c>
      <c r="D247" s="3">
        <v>31.606999999999999</v>
      </c>
      <c r="E247" s="3">
        <v>14</v>
      </c>
      <c r="F247" s="3">
        <v>38.213999999999999</v>
      </c>
      <c r="G247" s="3">
        <v>16</v>
      </c>
      <c r="H247" s="3" t="s">
        <v>210</v>
      </c>
      <c r="I247" s="3">
        <v>5</v>
      </c>
      <c r="J247" s="4" t="s">
        <v>100</v>
      </c>
      <c r="K247" s="4"/>
      <c r="M247" s="3" t="s">
        <v>230</v>
      </c>
      <c r="N247" s="3" t="s">
        <v>212</v>
      </c>
      <c r="O247" s="3">
        <v>13</v>
      </c>
      <c r="P247" s="3">
        <v>5</v>
      </c>
      <c r="Q247" s="3">
        <v>13</v>
      </c>
      <c r="R247" s="3">
        <v>-15</v>
      </c>
      <c r="S247" s="3">
        <v>13</v>
      </c>
    </row>
    <row r="248" spans="2:27" x14ac:dyDescent="0.25">
      <c r="B248" s="3" t="s">
        <v>229</v>
      </c>
      <c r="C248" s="3" t="s">
        <v>210</v>
      </c>
      <c r="D248" s="3">
        <v>38.213999999999999</v>
      </c>
      <c r="E248" s="3">
        <v>16</v>
      </c>
      <c r="F248" s="3">
        <v>88.165000000000006</v>
      </c>
      <c r="G248" s="3">
        <v>16</v>
      </c>
      <c r="H248" s="3" t="s">
        <v>210</v>
      </c>
      <c r="I248" s="3">
        <v>5</v>
      </c>
      <c r="J248" s="4" t="s">
        <v>100</v>
      </c>
      <c r="K248" s="4"/>
      <c r="M248" s="3" t="s">
        <v>231</v>
      </c>
      <c r="N248" s="3" t="s">
        <v>212</v>
      </c>
      <c r="O248" s="3">
        <v>14</v>
      </c>
      <c r="P248" s="3">
        <v>5</v>
      </c>
      <c r="Q248" s="3">
        <v>14</v>
      </c>
      <c r="R248" s="3">
        <v>-15</v>
      </c>
      <c r="S248" s="3">
        <v>14</v>
      </c>
    </row>
    <row r="249" spans="2:27" x14ac:dyDescent="0.25">
      <c r="B249" s="3" t="s">
        <v>229</v>
      </c>
      <c r="C249" s="3" t="s">
        <v>210</v>
      </c>
      <c r="D249" s="3">
        <v>88.165000000000006</v>
      </c>
      <c r="E249" s="3">
        <v>16</v>
      </c>
      <c r="F249" s="3">
        <v>94.082999999999998</v>
      </c>
      <c r="G249" s="3">
        <v>14</v>
      </c>
      <c r="H249" s="3" t="s">
        <v>210</v>
      </c>
      <c r="I249" s="3">
        <v>5</v>
      </c>
      <c r="J249" s="4" t="s">
        <v>100</v>
      </c>
      <c r="K249" s="4"/>
      <c r="M249" s="3" t="s">
        <v>232</v>
      </c>
      <c r="N249" s="3" t="s">
        <v>212</v>
      </c>
      <c r="O249" s="3">
        <v>15</v>
      </c>
      <c r="P249" s="3">
        <v>5</v>
      </c>
      <c r="Q249" s="3">
        <v>15</v>
      </c>
      <c r="R249" s="3">
        <v>-15</v>
      </c>
      <c r="S249" s="3">
        <v>15</v>
      </c>
    </row>
    <row r="250" spans="2:27" x14ac:dyDescent="0.25">
      <c r="B250" s="3" t="s">
        <v>229</v>
      </c>
      <c r="C250" s="3" t="s">
        <v>210</v>
      </c>
      <c r="D250" s="3">
        <v>94.082999999999998</v>
      </c>
      <c r="E250" s="3">
        <v>14</v>
      </c>
      <c r="F250" s="3">
        <v>31.606999999999999</v>
      </c>
      <c r="G250" s="3">
        <v>14</v>
      </c>
      <c r="H250" s="3" t="s">
        <v>210</v>
      </c>
      <c r="I250" s="3">
        <v>5</v>
      </c>
      <c r="J250" s="4" t="s">
        <v>100</v>
      </c>
      <c r="K250" s="4"/>
      <c r="M250" s="3" t="s">
        <v>233</v>
      </c>
      <c r="N250" s="3" t="s">
        <v>212</v>
      </c>
      <c r="O250" s="3">
        <v>16</v>
      </c>
      <c r="P250" s="3">
        <v>5</v>
      </c>
      <c r="Q250" s="3">
        <v>16</v>
      </c>
      <c r="R250" s="3">
        <v>-15</v>
      </c>
      <c r="S250" s="3">
        <v>16</v>
      </c>
    </row>
    <row r="251" spans="2:27" x14ac:dyDescent="0.25">
      <c r="B251" s="3" t="s">
        <v>234</v>
      </c>
      <c r="C251" s="3" t="s">
        <v>210</v>
      </c>
      <c r="D251" s="3">
        <v>0</v>
      </c>
      <c r="E251" s="3">
        <v>12</v>
      </c>
      <c r="F251" s="3">
        <v>107.575</v>
      </c>
      <c r="G251" s="3">
        <v>12</v>
      </c>
      <c r="H251" s="3" t="s">
        <v>210</v>
      </c>
      <c r="I251" s="3">
        <v>6</v>
      </c>
      <c r="J251" s="4" t="s">
        <v>100</v>
      </c>
      <c r="K251" s="4"/>
      <c r="M251" s="3" t="s">
        <v>235</v>
      </c>
      <c r="N251" s="3" t="s">
        <v>212</v>
      </c>
      <c r="O251" s="3">
        <v>17</v>
      </c>
      <c r="P251" s="3">
        <v>5</v>
      </c>
      <c r="Q251" s="3">
        <v>17</v>
      </c>
      <c r="R251" s="3">
        <v>-15</v>
      </c>
      <c r="S251" s="3">
        <v>17</v>
      </c>
    </row>
    <row r="252" spans="2:27" x14ac:dyDescent="0.25">
      <c r="B252" s="3" t="s">
        <v>234</v>
      </c>
      <c r="C252" s="3" t="s">
        <v>210</v>
      </c>
      <c r="D252" s="3">
        <v>107.575</v>
      </c>
      <c r="E252" s="3">
        <v>12</v>
      </c>
      <c r="F252" s="3">
        <v>96.546999999999997</v>
      </c>
      <c r="G252" s="3">
        <v>16</v>
      </c>
      <c r="H252" s="3" t="s">
        <v>210</v>
      </c>
      <c r="I252" s="3">
        <v>6</v>
      </c>
      <c r="J252" s="4" t="s">
        <v>100</v>
      </c>
      <c r="K252" s="4"/>
      <c r="M252" s="3" t="s">
        <v>236</v>
      </c>
      <c r="N252" s="3" t="s">
        <v>212</v>
      </c>
      <c r="O252" s="3">
        <v>18</v>
      </c>
      <c r="P252" s="3">
        <v>5</v>
      </c>
      <c r="Q252" s="3">
        <v>18</v>
      </c>
      <c r="R252" s="3">
        <v>-15</v>
      </c>
      <c r="S252" s="3">
        <v>18</v>
      </c>
    </row>
    <row r="253" spans="2:27" x14ac:dyDescent="0.25">
      <c r="B253" s="3" t="s">
        <v>234</v>
      </c>
      <c r="C253" s="3" t="s">
        <v>210</v>
      </c>
      <c r="D253" s="3">
        <v>96.546999999999997</v>
      </c>
      <c r="E253" s="3">
        <v>16</v>
      </c>
      <c r="F253" s="3">
        <v>0</v>
      </c>
      <c r="G253" s="3">
        <v>16</v>
      </c>
      <c r="H253" s="3" t="s">
        <v>210</v>
      </c>
      <c r="I253" s="3">
        <v>6</v>
      </c>
      <c r="J253" s="4" t="s">
        <v>100</v>
      </c>
      <c r="K253" s="4"/>
      <c r="M253" s="3" t="s">
        <v>237</v>
      </c>
      <c r="N253" s="3" t="s">
        <v>212</v>
      </c>
      <c r="O253" s="3">
        <v>19</v>
      </c>
      <c r="P253" s="3">
        <v>5</v>
      </c>
      <c r="Q253" s="3">
        <v>19</v>
      </c>
      <c r="R253" s="3">
        <v>-15</v>
      </c>
      <c r="S253" s="3">
        <v>19</v>
      </c>
    </row>
    <row r="254" spans="2:27" x14ac:dyDescent="0.25">
      <c r="B254" s="3" t="s">
        <v>234</v>
      </c>
      <c r="C254" s="3" t="s">
        <v>210</v>
      </c>
      <c r="D254" s="3">
        <v>0</v>
      </c>
      <c r="E254" s="3">
        <v>16</v>
      </c>
      <c r="F254" s="3">
        <v>0</v>
      </c>
      <c r="G254" s="3">
        <v>12</v>
      </c>
      <c r="H254" s="3" t="s">
        <v>210</v>
      </c>
      <c r="I254" s="3">
        <v>6</v>
      </c>
      <c r="J254" s="4" t="s">
        <v>100</v>
      </c>
      <c r="K254" s="4"/>
      <c r="M254" s="3" t="s">
        <v>238</v>
      </c>
      <c r="N254" s="3" t="s">
        <v>212</v>
      </c>
      <c r="O254" s="3">
        <v>20</v>
      </c>
      <c r="P254" s="3">
        <v>5</v>
      </c>
      <c r="Q254" s="3">
        <v>20</v>
      </c>
      <c r="R254" s="3">
        <v>-15</v>
      </c>
      <c r="S254" s="3">
        <v>20</v>
      </c>
    </row>
    <row r="255" spans="2:27" x14ac:dyDescent="0.25">
      <c r="B255" s="3" t="s">
        <v>239</v>
      </c>
      <c r="C255" s="3" t="s">
        <v>210</v>
      </c>
      <c r="D255" s="3">
        <v>25</v>
      </c>
      <c r="E255" s="3">
        <v>12</v>
      </c>
      <c r="F255" s="3">
        <v>31.606999999999999</v>
      </c>
      <c r="G255" s="3">
        <v>14</v>
      </c>
      <c r="H255" s="3" t="s">
        <v>210</v>
      </c>
      <c r="I255" s="3">
        <v>7</v>
      </c>
      <c r="J255" s="4" t="s">
        <v>100</v>
      </c>
      <c r="K255" s="4"/>
      <c r="M255" s="3" t="s">
        <v>240</v>
      </c>
      <c r="N255" s="3" t="s">
        <v>212</v>
      </c>
      <c r="O255" s="3">
        <v>21</v>
      </c>
      <c r="P255" s="3">
        <v>5</v>
      </c>
      <c r="Q255" s="3">
        <v>21</v>
      </c>
      <c r="R255" s="3">
        <v>-15</v>
      </c>
      <c r="S255" s="3">
        <v>21</v>
      </c>
    </row>
    <row r="256" spans="2:27" x14ac:dyDescent="0.25">
      <c r="B256" s="3" t="s">
        <v>239</v>
      </c>
      <c r="C256" s="3" t="s">
        <v>210</v>
      </c>
      <c r="D256" s="3">
        <v>31.606999999999999</v>
      </c>
      <c r="E256" s="3">
        <v>14</v>
      </c>
      <c r="F256" s="3">
        <v>94.082999999999998</v>
      </c>
      <c r="G256" s="3">
        <v>14</v>
      </c>
      <c r="H256" s="3" t="s">
        <v>210</v>
      </c>
      <c r="I256" s="3">
        <v>7</v>
      </c>
      <c r="J256" s="4" t="s">
        <v>100</v>
      </c>
      <c r="K256" s="4"/>
      <c r="M256" s="3" t="s">
        <v>241</v>
      </c>
      <c r="N256" s="3" t="s">
        <v>212</v>
      </c>
      <c r="O256" s="3">
        <v>22</v>
      </c>
      <c r="P256" s="3">
        <v>5</v>
      </c>
      <c r="Q256" s="3">
        <v>22</v>
      </c>
      <c r="R256" s="3">
        <v>-15</v>
      </c>
      <c r="S256" s="3">
        <v>22</v>
      </c>
    </row>
    <row r="257" spans="2:19" x14ac:dyDescent="0.25">
      <c r="B257" s="3" t="s">
        <v>239</v>
      </c>
      <c r="C257" s="3" t="s">
        <v>210</v>
      </c>
      <c r="D257" s="3">
        <v>94.082999999999998</v>
      </c>
      <c r="E257" s="3">
        <v>14</v>
      </c>
      <c r="F257" s="3">
        <v>100</v>
      </c>
      <c r="G257" s="3">
        <v>12</v>
      </c>
      <c r="H257" s="3" t="s">
        <v>210</v>
      </c>
      <c r="I257" s="3">
        <v>7</v>
      </c>
      <c r="J257" s="4" t="s">
        <v>100</v>
      </c>
      <c r="K257" s="4"/>
      <c r="M257" s="3" t="s">
        <v>242</v>
      </c>
      <c r="N257" s="3" t="s">
        <v>212</v>
      </c>
      <c r="O257" s="3">
        <v>23</v>
      </c>
      <c r="P257" s="3">
        <v>5</v>
      </c>
      <c r="Q257" s="3">
        <v>23</v>
      </c>
      <c r="R257" s="3">
        <v>-15</v>
      </c>
      <c r="S257" s="3">
        <v>23</v>
      </c>
    </row>
    <row r="258" spans="2:19" x14ac:dyDescent="0.25">
      <c r="B258" s="3" t="s">
        <v>239</v>
      </c>
      <c r="C258" s="3" t="s">
        <v>210</v>
      </c>
      <c r="D258" s="3">
        <v>100</v>
      </c>
      <c r="E258" s="3">
        <v>12</v>
      </c>
      <c r="F258" s="3">
        <v>25</v>
      </c>
      <c r="G258" s="3">
        <v>12</v>
      </c>
      <c r="H258" s="3" t="s">
        <v>210</v>
      </c>
      <c r="I258" s="3">
        <v>7</v>
      </c>
      <c r="J258" s="4" t="s">
        <v>100</v>
      </c>
      <c r="K258" s="4"/>
      <c r="M258" s="3" t="s">
        <v>243</v>
      </c>
      <c r="N258" s="3" t="s">
        <v>212</v>
      </c>
      <c r="O258" s="3">
        <v>24</v>
      </c>
      <c r="P258" s="3">
        <v>5</v>
      </c>
      <c r="Q258" s="3">
        <v>24</v>
      </c>
      <c r="R258" s="3">
        <v>-15</v>
      </c>
      <c r="S258" s="3">
        <v>24</v>
      </c>
    </row>
    <row r="259" spans="2:19" x14ac:dyDescent="0.25">
      <c r="B259" s="3" t="s">
        <v>244</v>
      </c>
      <c r="C259" s="3" t="s">
        <v>210</v>
      </c>
      <c r="D259" s="3">
        <v>0</v>
      </c>
      <c r="E259" s="3">
        <v>10</v>
      </c>
      <c r="F259" s="3">
        <v>0</v>
      </c>
      <c r="G259" s="3">
        <v>12</v>
      </c>
      <c r="H259" s="3" t="s">
        <v>210</v>
      </c>
      <c r="I259" s="3">
        <v>8</v>
      </c>
      <c r="J259" s="4" t="s">
        <v>100</v>
      </c>
      <c r="K259" s="4"/>
      <c r="M259" s="3" t="s">
        <v>245</v>
      </c>
      <c r="N259" s="3" t="s">
        <v>212</v>
      </c>
      <c r="O259" s="3">
        <v>25</v>
      </c>
      <c r="P259" s="3">
        <v>5</v>
      </c>
      <c r="Q259" s="3">
        <v>25</v>
      </c>
      <c r="R259" s="3">
        <v>-15</v>
      </c>
      <c r="S259" s="3">
        <v>25</v>
      </c>
    </row>
    <row r="260" spans="2:19" x14ac:dyDescent="0.25">
      <c r="B260" s="3" t="s">
        <v>244</v>
      </c>
      <c r="C260" s="3" t="s">
        <v>210</v>
      </c>
      <c r="D260" s="3">
        <v>0</v>
      </c>
      <c r="E260" s="3">
        <v>12</v>
      </c>
      <c r="F260" s="3">
        <v>110</v>
      </c>
      <c r="G260" s="3">
        <v>12</v>
      </c>
      <c r="H260" s="3" t="s">
        <v>210</v>
      </c>
      <c r="I260" s="3">
        <v>8</v>
      </c>
      <c r="J260" s="4" t="s">
        <v>100</v>
      </c>
      <c r="K260" s="4"/>
      <c r="M260" s="3" t="s">
        <v>246</v>
      </c>
      <c r="N260" s="3" t="s">
        <v>212</v>
      </c>
      <c r="O260" s="3">
        <v>26</v>
      </c>
      <c r="P260" s="3">
        <v>5</v>
      </c>
      <c r="Q260" s="3">
        <v>26</v>
      </c>
      <c r="R260" s="3">
        <v>-15</v>
      </c>
      <c r="S260" s="3">
        <v>26</v>
      </c>
    </row>
    <row r="261" spans="2:19" x14ac:dyDescent="0.25">
      <c r="B261" s="3" t="s">
        <v>244</v>
      </c>
      <c r="C261" s="3" t="s">
        <v>210</v>
      </c>
      <c r="D261" s="3">
        <v>110</v>
      </c>
      <c r="E261" s="3">
        <v>12</v>
      </c>
      <c r="F261" s="3">
        <v>117.143</v>
      </c>
      <c r="G261" s="3">
        <v>10</v>
      </c>
      <c r="H261" s="3" t="s">
        <v>210</v>
      </c>
      <c r="I261" s="3">
        <v>8</v>
      </c>
      <c r="J261" s="4" t="s">
        <v>100</v>
      </c>
      <c r="K261" s="4"/>
      <c r="M261" s="3" t="s">
        <v>247</v>
      </c>
      <c r="N261" s="3" t="s">
        <v>212</v>
      </c>
      <c r="O261" s="3">
        <v>27</v>
      </c>
      <c r="P261" s="3">
        <v>5</v>
      </c>
      <c r="Q261" s="3">
        <v>27</v>
      </c>
      <c r="R261" s="3">
        <v>-15</v>
      </c>
      <c r="S261" s="3">
        <v>27</v>
      </c>
    </row>
    <row r="262" spans="2:19" x14ac:dyDescent="0.25">
      <c r="B262" s="3" t="s">
        <v>244</v>
      </c>
      <c r="C262" s="3" t="s">
        <v>210</v>
      </c>
      <c r="D262" s="3">
        <v>117.143</v>
      </c>
      <c r="E262" s="3">
        <v>10</v>
      </c>
      <c r="F262" s="3">
        <v>0</v>
      </c>
      <c r="G262" s="3">
        <v>10</v>
      </c>
      <c r="H262" s="3" t="s">
        <v>210</v>
      </c>
      <c r="I262" s="3">
        <v>8</v>
      </c>
      <c r="J262" s="4" t="s">
        <v>100</v>
      </c>
      <c r="K262" s="4"/>
      <c r="M262" s="3" t="s">
        <v>248</v>
      </c>
      <c r="N262" s="3" t="s">
        <v>212</v>
      </c>
      <c r="O262" s="3">
        <v>28</v>
      </c>
      <c r="P262" s="3">
        <v>5</v>
      </c>
      <c r="Q262" s="3">
        <v>28</v>
      </c>
      <c r="R262" s="3">
        <v>-15</v>
      </c>
      <c r="S262" s="3">
        <v>28</v>
      </c>
    </row>
    <row r="263" spans="2:19" x14ac:dyDescent="0.25">
      <c r="B263" s="3" t="s">
        <v>249</v>
      </c>
      <c r="C263" s="3" t="s">
        <v>210</v>
      </c>
      <c r="D263" s="3">
        <v>117.143</v>
      </c>
      <c r="E263" s="3">
        <v>10</v>
      </c>
      <c r="F263" s="3">
        <v>110</v>
      </c>
      <c r="G263" s="3">
        <v>12</v>
      </c>
      <c r="H263" s="3" t="s">
        <v>210</v>
      </c>
      <c r="I263" s="3">
        <v>9</v>
      </c>
      <c r="J263" s="4" t="s">
        <v>100</v>
      </c>
      <c r="K263" s="4"/>
      <c r="M263" s="3" t="s">
        <v>250</v>
      </c>
      <c r="N263" s="3" t="s">
        <v>212</v>
      </c>
      <c r="O263" s="3">
        <v>29</v>
      </c>
      <c r="P263" s="3">
        <v>5</v>
      </c>
      <c r="Q263" s="3">
        <v>29</v>
      </c>
      <c r="R263" s="3">
        <v>-15</v>
      </c>
      <c r="S263" s="3">
        <v>29</v>
      </c>
    </row>
    <row r="264" spans="2:19" x14ac:dyDescent="0.25">
      <c r="B264" s="3" t="s">
        <v>249</v>
      </c>
      <c r="C264" s="3" t="s">
        <v>210</v>
      </c>
      <c r="D264" s="3">
        <v>110</v>
      </c>
      <c r="E264" s="3">
        <v>12</v>
      </c>
      <c r="F264" s="3">
        <v>152.5</v>
      </c>
      <c r="G264" s="3">
        <v>12</v>
      </c>
      <c r="H264" s="3" t="s">
        <v>210</v>
      </c>
      <c r="I264" s="3">
        <v>9</v>
      </c>
      <c r="J264" s="4" t="s">
        <v>100</v>
      </c>
      <c r="K264" s="4"/>
      <c r="M264" s="3" t="s">
        <v>251</v>
      </c>
      <c r="N264" s="3" t="s">
        <v>212</v>
      </c>
      <c r="O264" s="3">
        <v>30</v>
      </c>
      <c r="P264" s="3">
        <v>5</v>
      </c>
      <c r="Q264" s="3">
        <v>30</v>
      </c>
      <c r="R264" s="3">
        <v>-15</v>
      </c>
      <c r="S264" s="3">
        <v>30</v>
      </c>
    </row>
    <row r="265" spans="2:19" x14ac:dyDescent="0.25">
      <c r="B265" s="3" t="s">
        <v>249</v>
      </c>
      <c r="C265" s="3" t="s">
        <v>210</v>
      </c>
      <c r="D265" s="3">
        <v>152.5</v>
      </c>
      <c r="E265" s="3">
        <v>12</v>
      </c>
      <c r="F265" s="3">
        <v>159.643</v>
      </c>
      <c r="G265" s="3">
        <v>10</v>
      </c>
      <c r="H265" s="3" t="s">
        <v>210</v>
      </c>
      <c r="I265" s="3">
        <v>9</v>
      </c>
      <c r="J265" s="4" t="s">
        <v>100</v>
      </c>
      <c r="K265" s="4"/>
      <c r="M265" s="3" t="s">
        <v>252</v>
      </c>
      <c r="N265" s="3" t="s">
        <v>212</v>
      </c>
      <c r="O265" s="3">
        <v>31</v>
      </c>
      <c r="P265" s="3">
        <v>5</v>
      </c>
      <c r="Q265" s="3">
        <v>31</v>
      </c>
      <c r="R265" s="3">
        <v>-15</v>
      </c>
      <c r="S265" s="3">
        <v>31</v>
      </c>
    </row>
    <row r="266" spans="2:19" x14ac:dyDescent="0.25">
      <c r="B266" s="3" t="s">
        <v>249</v>
      </c>
      <c r="C266" s="3" t="s">
        <v>210</v>
      </c>
      <c r="D266" s="3">
        <v>159.643</v>
      </c>
      <c r="E266" s="3">
        <v>10</v>
      </c>
      <c r="F266" s="3">
        <v>117.143</v>
      </c>
      <c r="G266" s="3">
        <v>10</v>
      </c>
      <c r="H266" s="3" t="s">
        <v>210</v>
      </c>
      <c r="I266" s="3">
        <v>9</v>
      </c>
      <c r="J266" s="4" t="s">
        <v>100</v>
      </c>
      <c r="K266" s="4"/>
      <c r="M266" s="3" t="s">
        <v>253</v>
      </c>
      <c r="N266" s="3" t="s">
        <v>212</v>
      </c>
      <c r="O266" s="3">
        <v>32</v>
      </c>
      <c r="P266" s="3">
        <v>5</v>
      </c>
      <c r="Q266" s="3">
        <v>32</v>
      </c>
      <c r="R266" s="3">
        <v>-15</v>
      </c>
      <c r="S266" s="3">
        <v>32</v>
      </c>
    </row>
    <row r="267" spans="2:19" x14ac:dyDescent="0.25">
      <c r="B267" s="3" t="s">
        <v>254</v>
      </c>
      <c r="C267" s="3" t="s">
        <v>210</v>
      </c>
      <c r="D267" s="3">
        <v>0</v>
      </c>
      <c r="E267" s="3">
        <v>7.5</v>
      </c>
      <c r="F267" s="3">
        <v>0</v>
      </c>
      <c r="G267" s="3">
        <v>10</v>
      </c>
      <c r="H267" s="3" t="s">
        <v>210</v>
      </c>
      <c r="I267" s="3">
        <v>10</v>
      </c>
      <c r="J267" s="4" t="s">
        <v>100</v>
      </c>
      <c r="K267" s="4"/>
      <c r="M267" s="3" t="s">
        <v>255</v>
      </c>
      <c r="N267" s="3" t="s">
        <v>212</v>
      </c>
      <c r="O267" s="3">
        <v>33</v>
      </c>
      <c r="P267" s="3">
        <v>5</v>
      </c>
      <c r="Q267" s="3">
        <v>33</v>
      </c>
      <c r="R267" s="3">
        <v>-15</v>
      </c>
      <c r="S267" s="3">
        <v>33</v>
      </c>
    </row>
    <row r="268" spans="2:19" x14ac:dyDescent="0.25">
      <c r="B268" s="3" t="s">
        <v>254</v>
      </c>
      <c r="C268" s="3" t="s">
        <v>210</v>
      </c>
      <c r="D268" s="3">
        <v>0</v>
      </c>
      <c r="E268" s="3">
        <v>10</v>
      </c>
      <c r="F268" s="3">
        <v>117.143</v>
      </c>
      <c r="G268" s="3">
        <v>10</v>
      </c>
      <c r="H268" s="3" t="s">
        <v>210</v>
      </c>
      <c r="I268" s="3">
        <v>10</v>
      </c>
      <c r="J268" s="4" t="s">
        <v>100</v>
      </c>
      <c r="K268" s="4"/>
      <c r="M268" s="3" t="s">
        <v>256</v>
      </c>
      <c r="N268" s="3" t="s">
        <v>212</v>
      </c>
      <c r="O268" s="3">
        <v>34</v>
      </c>
      <c r="P268" s="3">
        <v>5</v>
      </c>
      <c r="Q268" s="3">
        <v>34</v>
      </c>
      <c r="R268" s="3">
        <v>-15</v>
      </c>
      <c r="S268" s="3">
        <v>34</v>
      </c>
    </row>
    <row r="269" spans="2:19" x14ac:dyDescent="0.25">
      <c r="B269" s="3" t="s">
        <v>254</v>
      </c>
      <c r="C269" s="3" t="s">
        <v>210</v>
      </c>
      <c r="D269" s="3">
        <v>117.143</v>
      </c>
      <c r="E269" s="3">
        <v>10</v>
      </c>
      <c r="F269" s="3">
        <v>126.071</v>
      </c>
      <c r="G269" s="3">
        <v>7.5</v>
      </c>
      <c r="H269" s="3" t="s">
        <v>210</v>
      </c>
      <c r="I269" s="3">
        <v>10</v>
      </c>
      <c r="J269" s="4" t="s">
        <v>100</v>
      </c>
      <c r="K269" s="4"/>
      <c r="M269" s="3" t="s">
        <v>257</v>
      </c>
      <c r="N269" s="3" t="s">
        <v>212</v>
      </c>
      <c r="O269" s="3">
        <v>35</v>
      </c>
      <c r="P269" s="3">
        <v>5</v>
      </c>
      <c r="Q269" s="3">
        <v>35</v>
      </c>
      <c r="R269" s="3">
        <v>-15</v>
      </c>
      <c r="S269" s="3">
        <v>35</v>
      </c>
    </row>
    <row r="270" spans="2:19" x14ac:dyDescent="0.25">
      <c r="B270" s="3" t="s">
        <v>254</v>
      </c>
      <c r="C270" s="3" t="s">
        <v>210</v>
      </c>
      <c r="D270" s="3">
        <v>126.071</v>
      </c>
      <c r="E270" s="3">
        <v>7.5</v>
      </c>
      <c r="F270" s="3">
        <v>0</v>
      </c>
      <c r="G270" s="3">
        <v>7.5</v>
      </c>
      <c r="H270" s="3" t="s">
        <v>210</v>
      </c>
      <c r="I270" s="3">
        <v>10</v>
      </c>
      <c r="J270" s="4" t="s">
        <v>100</v>
      </c>
      <c r="K270" s="4"/>
      <c r="M270" s="3" t="s">
        <v>258</v>
      </c>
      <c r="N270" s="3" t="s">
        <v>212</v>
      </c>
      <c r="O270" s="3">
        <v>36</v>
      </c>
      <c r="P270" s="3">
        <v>5</v>
      </c>
      <c r="Q270" s="3">
        <v>36</v>
      </c>
      <c r="R270" s="3">
        <v>-15</v>
      </c>
      <c r="S270" s="3">
        <v>36</v>
      </c>
    </row>
    <row r="271" spans="2:19" x14ac:dyDescent="0.25">
      <c r="B271" s="3" t="s">
        <v>259</v>
      </c>
      <c r="C271" s="3" t="s">
        <v>210</v>
      </c>
      <c r="D271" s="3">
        <v>126.071</v>
      </c>
      <c r="E271" s="3">
        <v>7.5</v>
      </c>
      <c r="F271" s="3">
        <v>117.143</v>
      </c>
      <c r="G271" s="3">
        <v>10</v>
      </c>
      <c r="H271" s="3" t="s">
        <v>210</v>
      </c>
      <c r="I271" s="3">
        <v>11</v>
      </c>
      <c r="J271" s="4" t="s">
        <v>100</v>
      </c>
      <c r="K271" s="4"/>
      <c r="M271" s="3" t="s">
        <v>260</v>
      </c>
      <c r="N271" s="3" t="s">
        <v>212</v>
      </c>
      <c r="O271" s="3">
        <v>37</v>
      </c>
      <c r="P271" s="3">
        <v>5</v>
      </c>
      <c r="Q271" s="3">
        <v>37</v>
      </c>
      <c r="R271" s="3">
        <v>-15</v>
      </c>
      <c r="S271" s="3">
        <v>37</v>
      </c>
    </row>
    <row r="272" spans="2:19" x14ac:dyDescent="0.25">
      <c r="B272" s="3" t="s">
        <v>259</v>
      </c>
      <c r="C272" s="3" t="s">
        <v>210</v>
      </c>
      <c r="D272" s="3">
        <v>117.143</v>
      </c>
      <c r="E272" s="3">
        <v>10</v>
      </c>
      <c r="F272" s="3">
        <v>159.643</v>
      </c>
      <c r="G272" s="3">
        <v>10</v>
      </c>
      <c r="H272" s="3" t="s">
        <v>210</v>
      </c>
      <c r="I272" s="3">
        <v>11</v>
      </c>
      <c r="J272" s="4" t="s">
        <v>100</v>
      </c>
      <c r="K272" s="4"/>
      <c r="M272" s="3" t="s">
        <v>261</v>
      </c>
      <c r="N272" s="3" t="s">
        <v>212</v>
      </c>
      <c r="O272" s="3">
        <v>38</v>
      </c>
      <c r="P272" s="3">
        <v>5</v>
      </c>
      <c r="Q272" s="3">
        <v>38</v>
      </c>
      <c r="R272" s="3">
        <v>-15</v>
      </c>
      <c r="S272" s="3">
        <v>38</v>
      </c>
    </row>
    <row r="273" spans="2:19" x14ac:dyDescent="0.25">
      <c r="B273" s="3" t="s">
        <v>259</v>
      </c>
      <c r="C273" s="3" t="s">
        <v>210</v>
      </c>
      <c r="D273" s="3">
        <v>159.643</v>
      </c>
      <c r="E273" s="3">
        <v>10</v>
      </c>
      <c r="F273" s="3">
        <v>168.571</v>
      </c>
      <c r="G273" s="3">
        <v>7.5</v>
      </c>
      <c r="H273" s="3" t="s">
        <v>210</v>
      </c>
      <c r="I273" s="3">
        <v>11</v>
      </c>
      <c r="J273" s="4" t="s">
        <v>100</v>
      </c>
      <c r="K273" s="4"/>
      <c r="M273" s="3" t="s">
        <v>262</v>
      </c>
      <c r="N273" s="3" t="s">
        <v>212</v>
      </c>
      <c r="O273" s="3">
        <v>39</v>
      </c>
      <c r="P273" s="3">
        <v>5</v>
      </c>
      <c r="Q273" s="3">
        <v>39</v>
      </c>
      <c r="R273" s="3">
        <v>-15</v>
      </c>
      <c r="S273" s="3">
        <v>39</v>
      </c>
    </row>
    <row r="274" spans="2:19" x14ac:dyDescent="0.25">
      <c r="B274" s="3" t="s">
        <v>259</v>
      </c>
      <c r="C274" s="3" t="s">
        <v>210</v>
      </c>
      <c r="D274" s="3">
        <v>168.571</v>
      </c>
      <c r="E274" s="3">
        <v>7.5</v>
      </c>
      <c r="F274" s="3">
        <v>126.071</v>
      </c>
      <c r="G274" s="3">
        <v>7.5</v>
      </c>
      <c r="H274" s="3" t="s">
        <v>210</v>
      </c>
      <c r="I274" s="3">
        <v>11</v>
      </c>
      <c r="J274" s="4" t="s">
        <v>100</v>
      </c>
      <c r="K274" s="4"/>
      <c r="M274" s="3" t="s">
        <v>263</v>
      </c>
      <c r="N274" s="3" t="s">
        <v>212</v>
      </c>
      <c r="O274" s="3">
        <v>40</v>
      </c>
      <c r="P274" s="3">
        <v>5</v>
      </c>
      <c r="Q274" s="3">
        <v>40</v>
      </c>
      <c r="R274" s="3">
        <v>-15</v>
      </c>
      <c r="S274" s="3">
        <v>40</v>
      </c>
    </row>
    <row r="275" spans="2:19" x14ac:dyDescent="0.25">
      <c r="B275" s="41" t="s">
        <v>264</v>
      </c>
      <c r="C275" s="41" t="s">
        <v>210</v>
      </c>
      <c r="D275" s="41">
        <v>135</v>
      </c>
      <c r="E275" s="41">
        <v>5</v>
      </c>
      <c r="F275" s="41">
        <v>126.071</v>
      </c>
      <c r="G275" s="41">
        <v>7.5</v>
      </c>
      <c r="H275" s="41" t="s">
        <v>210</v>
      </c>
      <c r="I275" s="41">
        <v>12</v>
      </c>
      <c r="J275" s="4" t="s">
        <v>100</v>
      </c>
      <c r="K275" s="4"/>
      <c r="M275" s="3" t="s">
        <v>265</v>
      </c>
      <c r="N275" s="3" t="s">
        <v>212</v>
      </c>
      <c r="O275" s="3">
        <v>41</v>
      </c>
      <c r="P275" s="3">
        <v>5</v>
      </c>
      <c r="Q275" s="3">
        <v>41</v>
      </c>
      <c r="R275" s="3">
        <v>-15</v>
      </c>
      <c r="S275" s="3">
        <v>41</v>
      </c>
    </row>
    <row r="276" spans="2:19" x14ac:dyDescent="0.25">
      <c r="B276" s="3" t="s">
        <v>264</v>
      </c>
      <c r="C276" s="3" t="s">
        <v>210</v>
      </c>
      <c r="D276" s="3">
        <v>126.071</v>
      </c>
      <c r="E276" s="3">
        <v>7.5</v>
      </c>
      <c r="F276" s="3">
        <v>168.571</v>
      </c>
      <c r="G276" s="3">
        <v>7.5</v>
      </c>
      <c r="H276" s="3" t="s">
        <v>210</v>
      </c>
      <c r="I276" s="3">
        <v>12</v>
      </c>
      <c r="J276" s="4" t="s">
        <v>100</v>
      </c>
      <c r="K276" s="4"/>
      <c r="M276" s="3" t="s">
        <v>266</v>
      </c>
      <c r="N276" s="3" t="s">
        <v>212</v>
      </c>
      <c r="O276" s="3">
        <v>42</v>
      </c>
      <c r="P276" s="3">
        <v>5</v>
      </c>
      <c r="Q276" s="3">
        <v>42</v>
      </c>
      <c r="R276" s="3">
        <v>-15</v>
      </c>
      <c r="S276" s="3">
        <v>42</v>
      </c>
    </row>
    <row r="277" spans="2:19" x14ac:dyDescent="0.25">
      <c r="B277" s="3" t="s">
        <v>264</v>
      </c>
      <c r="C277" s="3" t="s">
        <v>210</v>
      </c>
      <c r="D277" s="3">
        <v>168.571</v>
      </c>
      <c r="E277" s="3">
        <v>7.5</v>
      </c>
      <c r="F277" s="3">
        <v>177.5</v>
      </c>
      <c r="G277" s="3">
        <v>5</v>
      </c>
      <c r="H277" s="3" t="s">
        <v>210</v>
      </c>
      <c r="I277" s="3">
        <v>12</v>
      </c>
      <c r="J277" s="4" t="s">
        <v>100</v>
      </c>
      <c r="K277" s="4"/>
      <c r="M277" s="3" t="s">
        <v>267</v>
      </c>
      <c r="N277" s="3" t="s">
        <v>212</v>
      </c>
      <c r="O277" s="3">
        <v>43</v>
      </c>
      <c r="P277" s="3">
        <v>5</v>
      </c>
      <c r="Q277" s="3">
        <v>43</v>
      </c>
      <c r="R277" s="3">
        <v>-15</v>
      </c>
      <c r="S277" s="3">
        <v>43</v>
      </c>
    </row>
    <row r="278" spans="2:19" x14ac:dyDescent="0.25">
      <c r="B278" s="3" t="s">
        <v>264</v>
      </c>
      <c r="C278" s="3" t="s">
        <v>210</v>
      </c>
      <c r="D278" s="3">
        <v>177.5</v>
      </c>
      <c r="E278" s="3">
        <v>5</v>
      </c>
      <c r="F278" s="3">
        <v>135</v>
      </c>
      <c r="G278" s="3">
        <v>5</v>
      </c>
      <c r="H278" s="3" t="s">
        <v>210</v>
      </c>
      <c r="I278" s="3">
        <v>12</v>
      </c>
      <c r="J278" s="4" t="s">
        <v>100</v>
      </c>
      <c r="K278" s="4"/>
      <c r="M278" s="3" t="s">
        <v>268</v>
      </c>
      <c r="N278" s="3" t="s">
        <v>212</v>
      </c>
      <c r="O278" s="3">
        <v>44</v>
      </c>
      <c r="P278" s="3">
        <v>5</v>
      </c>
      <c r="Q278" s="3">
        <v>44</v>
      </c>
      <c r="R278" s="3">
        <v>-15</v>
      </c>
      <c r="S278" s="3">
        <v>44</v>
      </c>
    </row>
    <row r="279" spans="2:19" x14ac:dyDescent="0.25">
      <c r="B279" s="3" t="s">
        <v>269</v>
      </c>
      <c r="C279" s="3" t="s">
        <v>210</v>
      </c>
      <c r="D279" s="3">
        <v>0</v>
      </c>
      <c r="E279" s="3">
        <v>5</v>
      </c>
      <c r="F279" s="3">
        <v>0</v>
      </c>
      <c r="G279" s="3">
        <v>7.5</v>
      </c>
      <c r="H279" s="3" t="s">
        <v>210</v>
      </c>
      <c r="I279" s="3">
        <v>13</v>
      </c>
      <c r="J279" s="4" t="s">
        <v>100</v>
      </c>
      <c r="K279" s="4"/>
      <c r="M279" s="3" t="s">
        <v>270</v>
      </c>
      <c r="N279" s="3" t="s">
        <v>212</v>
      </c>
      <c r="O279" s="3">
        <v>45</v>
      </c>
      <c r="P279" s="3">
        <v>5</v>
      </c>
      <c r="Q279" s="3">
        <v>45</v>
      </c>
      <c r="R279" s="3">
        <v>-15</v>
      </c>
      <c r="S279" s="3">
        <v>45</v>
      </c>
    </row>
    <row r="280" spans="2:19" x14ac:dyDescent="0.25">
      <c r="B280" s="3" t="s">
        <v>269</v>
      </c>
      <c r="C280" s="3" t="s">
        <v>210</v>
      </c>
      <c r="D280" s="3">
        <v>0</v>
      </c>
      <c r="E280" s="3">
        <v>7.5</v>
      </c>
      <c r="F280" s="3">
        <v>126.071</v>
      </c>
      <c r="G280" s="3">
        <v>7.5</v>
      </c>
      <c r="H280" s="3" t="s">
        <v>210</v>
      </c>
      <c r="I280" s="3">
        <v>13</v>
      </c>
      <c r="J280" s="4" t="s">
        <v>100</v>
      </c>
      <c r="K280" s="4"/>
      <c r="M280" s="3" t="s">
        <v>271</v>
      </c>
      <c r="N280" s="3" t="s">
        <v>212</v>
      </c>
      <c r="O280" s="3">
        <v>46</v>
      </c>
      <c r="P280" s="3">
        <v>5</v>
      </c>
      <c r="Q280" s="3">
        <v>46</v>
      </c>
      <c r="R280" s="3">
        <v>-15</v>
      </c>
      <c r="S280" s="3">
        <v>46</v>
      </c>
    </row>
    <row r="281" spans="2:19" x14ac:dyDescent="0.25">
      <c r="B281" s="3" t="s">
        <v>269</v>
      </c>
      <c r="C281" s="3" t="s">
        <v>210</v>
      </c>
      <c r="D281" s="3">
        <v>126.071</v>
      </c>
      <c r="E281" s="3">
        <v>7.5</v>
      </c>
      <c r="F281" s="3">
        <v>135</v>
      </c>
      <c r="G281" s="3">
        <v>5</v>
      </c>
      <c r="H281" s="3" t="s">
        <v>210</v>
      </c>
      <c r="I281" s="3">
        <v>13</v>
      </c>
      <c r="J281" s="4" t="s">
        <v>100</v>
      </c>
      <c r="K281" s="4"/>
      <c r="M281" s="3" t="s">
        <v>272</v>
      </c>
      <c r="N281" s="3" t="s">
        <v>212</v>
      </c>
      <c r="O281" s="3">
        <v>47</v>
      </c>
      <c r="P281" s="3">
        <v>5</v>
      </c>
      <c r="Q281" s="3">
        <v>47</v>
      </c>
      <c r="R281" s="3">
        <v>-15</v>
      </c>
      <c r="S281" s="3">
        <v>47</v>
      </c>
    </row>
    <row r="282" spans="2:19" x14ac:dyDescent="0.25">
      <c r="B282" s="3" t="s">
        <v>269</v>
      </c>
      <c r="C282" s="3" t="s">
        <v>210</v>
      </c>
      <c r="D282" s="3">
        <v>135</v>
      </c>
      <c r="E282" s="3">
        <v>5</v>
      </c>
      <c r="F282" s="3">
        <v>8.9290000000000003</v>
      </c>
      <c r="G282" s="3">
        <v>5</v>
      </c>
      <c r="H282" s="3" t="s">
        <v>210</v>
      </c>
      <c r="I282" s="3">
        <v>13</v>
      </c>
      <c r="J282" s="4" t="s">
        <v>100</v>
      </c>
      <c r="K282" s="4"/>
      <c r="M282" s="3" t="s">
        <v>273</v>
      </c>
      <c r="N282" s="3" t="s">
        <v>212</v>
      </c>
      <c r="O282" s="3">
        <v>48</v>
      </c>
      <c r="P282" s="3">
        <v>5</v>
      </c>
      <c r="Q282" s="3">
        <v>48</v>
      </c>
      <c r="R282" s="3">
        <v>-15</v>
      </c>
      <c r="S282" s="3">
        <v>48</v>
      </c>
    </row>
    <row r="283" spans="2:19" x14ac:dyDescent="0.25">
      <c r="B283" s="3" t="s">
        <v>274</v>
      </c>
      <c r="C283" s="3" t="s">
        <v>275</v>
      </c>
      <c r="D283" s="3">
        <v>20.489000000000001</v>
      </c>
      <c r="E283" s="3">
        <v>12</v>
      </c>
      <c r="F283" s="3">
        <v>24.074999999999999</v>
      </c>
      <c r="G283" s="3">
        <v>11</v>
      </c>
      <c r="H283" s="3" t="s">
        <v>275</v>
      </c>
      <c r="I283" s="3">
        <v>4</v>
      </c>
      <c r="J283" s="4" t="s">
        <v>100</v>
      </c>
      <c r="K283" s="4" t="s">
        <v>103</v>
      </c>
      <c r="M283" s="3" t="s">
        <v>276</v>
      </c>
      <c r="N283" s="3" t="s">
        <v>212</v>
      </c>
      <c r="O283" s="3">
        <v>49</v>
      </c>
      <c r="P283" s="3">
        <v>5</v>
      </c>
      <c r="Q283" s="3">
        <v>49</v>
      </c>
      <c r="R283" s="3">
        <v>-15</v>
      </c>
      <c r="S283" s="3">
        <v>49</v>
      </c>
    </row>
    <row r="284" spans="2:19" x14ac:dyDescent="0.25">
      <c r="B284" s="3" t="s">
        <v>274</v>
      </c>
      <c r="C284" s="3" t="s">
        <v>275</v>
      </c>
      <c r="D284" s="3">
        <v>24.074999999999999</v>
      </c>
      <c r="E284" s="3">
        <v>11</v>
      </c>
      <c r="F284" s="3">
        <v>28.074999999999999</v>
      </c>
      <c r="G284" s="3">
        <v>11</v>
      </c>
      <c r="H284" s="3" t="s">
        <v>275</v>
      </c>
      <c r="I284" s="3">
        <v>4</v>
      </c>
      <c r="J284" s="4" t="s">
        <v>100</v>
      </c>
      <c r="K284" s="4" t="s">
        <v>103</v>
      </c>
      <c r="M284" s="3" t="s">
        <v>277</v>
      </c>
      <c r="N284" s="3" t="s">
        <v>212</v>
      </c>
      <c r="O284" s="3">
        <v>50</v>
      </c>
      <c r="P284" s="3">
        <v>5</v>
      </c>
      <c r="Q284" s="3">
        <v>50</v>
      </c>
      <c r="R284" s="3">
        <v>-15</v>
      </c>
      <c r="S284" s="3">
        <v>50</v>
      </c>
    </row>
    <row r="285" spans="2:19" x14ac:dyDescent="0.25">
      <c r="B285" s="3" t="s">
        <v>274</v>
      </c>
      <c r="C285" s="3" t="s">
        <v>275</v>
      </c>
      <c r="D285" s="3">
        <v>28.074999999999999</v>
      </c>
      <c r="E285" s="3">
        <v>11</v>
      </c>
      <c r="F285" s="3">
        <v>51.142000000000003</v>
      </c>
      <c r="G285" s="3">
        <v>18</v>
      </c>
      <c r="H285" s="3" t="s">
        <v>275</v>
      </c>
      <c r="I285" s="3">
        <v>4</v>
      </c>
      <c r="J285" s="4" t="s">
        <v>100</v>
      </c>
      <c r="K285" s="4" t="s">
        <v>103</v>
      </c>
      <c r="M285" s="3" t="s">
        <v>278</v>
      </c>
      <c r="N285" s="3" t="s">
        <v>212</v>
      </c>
      <c r="O285" s="3">
        <v>51</v>
      </c>
      <c r="P285" s="3">
        <v>5</v>
      </c>
      <c r="Q285" s="3">
        <v>51</v>
      </c>
      <c r="R285" s="3">
        <v>-15</v>
      </c>
      <c r="S285" s="3">
        <v>51</v>
      </c>
    </row>
    <row r="286" spans="2:19" x14ac:dyDescent="0.25">
      <c r="B286" s="3" t="s">
        <v>274</v>
      </c>
      <c r="C286" s="3" t="s">
        <v>275</v>
      </c>
      <c r="D286" s="3">
        <v>51.142000000000003</v>
      </c>
      <c r="E286" s="3">
        <v>18</v>
      </c>
      <c r="F286" s="3">
        <v>82.248000000000005</v>
      </c>
      <c r="G286" s="3">
        <v>18</v>
      </c>
      <c r="H286" s="3" t="s">
        <v>275</v>
      </c>
      <c r="I286" s="3">
        <v>4</v>
      </c>
      <c r="J286" s="4" t="s">
        <v>100</v>
      </c>
      <c r="K286" s="4" t="s">
        <v>103</v>
      </c>
      <c r="M286" s="3" t="s">
        <v>279</v>
      </c>
      <c r="N286" s="3" t="s">
        <v>212</v>
      </c>
      <c r="O286" s="3">
        <v>52</v>
      </c>
      <c r="P286" s="3">
        <v>5</v>
      </c>
      <c r="Q286" s="3">
        <v>52</v>
      </c>
      <c r="R286" s="3">
        <v>-15</v>
      </c>
      <c r="S286" s="3">
        <v>52</v>
      </c>
    </row>
    <row r="287" spans="2:19" x14ac:dyDescent="0.25">
      <c r="B287" s="3" t="s">
        <v>274</v>
      </c>
      <c r="C287" s="3" t="s">
        <v>275</v>
      </c>
      <c r="D287" s="3">
        <v>82.248000000000005</v>
      </c>
      <c r="E287" s="3">
        <v>18</v>
      </c>
      <c r="F287" s="3">
        <v>76.33</v>
      </c>
      <c r="G287" s="3">
        <v>20</v>
      </c>
      <c r="H287" s="3" t="s">
        <v>275</v>
      </c>
      <c r="I287" s="3">
        <v>4</v>
      </c>
      <c r="J287" s="4" t="s">
        <v>100</v>
      </c>
      <c r="K287" s="4" t="s">
        <v>103</v>
      </c>
      <c r="M287" s="3" t="s">
        <v>280</v>
      </c>
      <c r="N287" s="3" t="s">
        <v>212</v>
      </c>
      <c r="O287" s="3">
        <v>53</v>
      </c>
      <c r="P287" s="3">
        <v>5</v>
      </c>
      <c r="Q287" s="3">
        <v>53</v>
      </c>
      <c r="R287" s="3">
        <v>-15</v>
      </c>
      <c r="S287" s="3">
        <v>53</v>
      </c>
    </row>
    <row r="288" spans="2:19" x14ac:dyDescent="0.25">
      <c r="B288" s="3" t="s">
        <v>274</v>
      </c>
      <c r="C288" s="3" t="s">
        <v>275</v>
      </c>
      <c r="D288" s="3">
        <v>76.33</v>
      </c>
      <c r="E288" s="3">
        <v>20</v>
      </c>
      <c r="F288" s="3">
        <v>51.429000000000002</v>
      </c>
      <c r="G288" s="3">
        <v>20</v>
      </c>
      <c r="H288" s="3" t="s">
        <v>275</v>
      </c>
      <c r="I288" s="3">
        <v>4</v>
      </c>
      <c r="J288" s="4" t="s">
        <v>100</v>
      </c>
      <c r="K288" s="4" t="s">
        <v>103</v>
      </c>
      <c r="M288" s="3" t="s">
        <v>281</v>
      </c>
      <c r="N288" s="3" t="s">
        <v>212</v>
      </c>
      <c r="O288" s="3">
        <v>54</v>
      </c>
      <c r="P288" s="3">
        <v>5</v>
      </c>
      <c r="Q288" s="3">
        <v>54</v>
      </c>
      <c r="R288" s="3">
        <v>-15</v>
      </c>
      <c r="S288" s="3">
        <v>54</v>
      </c>
    </row>
    <row r="289" spans="2:19" x14ac:dyDescent="0.25">
      <c r="B289" s="3" t="s">
        <v>274</v>
      </c>
      <c r="C289" s="3" t="s">
        <v>275</v>
      </c>
      <c r="D289" s="3">
        <v>51.429000000000002</v>
      </c>
      <c r="E289" s="3">
        <v>20</v>
      </c>
      <c r="F289" s="3">
        <v>25</v>
      </c>
      <c r="G289" s="3">
        <v>12</v>
      </c>
      <c r="H289" s="3" t="s">
        <v>275</v>
      </c>
      <c r="I289" s="3">
        <v>4</v>
      </c>
      <c r="J289" s="4" t="s">
        <v>100</v>
      </c>
      <c r="K289" s="4" t="s">
        <v>103</v>
      </c>
      <c r="M289" s="3" t="s">
        <v>282</v>
      </c>
      <c r="N289" s="3" t="s">
        <v>212</v>
      </c>
      <c r="O289" s="3">
        <v>55</v>
      </c>
      <c r="P289" s="3">
        <v>5</v>
      </c>
      <c r="Q289" s="3">
        <v>55</v>
      </c>
      <c r="R289" s="3">
        <v>-15</v>
      </c>
      <c r="S289" s="3">
        <v>55</v>
      </c>
    </row>
    <row r="290" spans="2:19" x14ac:dyDescent="0.25">
      <c r="B290" s="3" t="s">
        <v>274</v>
      </c>
      <c r="C290" s="3" t="s">
        <v>275</v>
      </c>
      <c r="D290" s="3">
        <v>25</v>
      </c>
      <c r="E290" s="3">
        <v>12</v>
      </c>
      <c r="F290" s="3">
        <v>20.489000000000001</v>
      </c>
      <c r="G290" s="3">
        <v>12</v>
      </c>
      <c r="H290" s="3" t="s">
        <v>275</v>
      </c>
      <c r="I290" s="3">
        <v>4</v>
      </c>
      <c r="J290" s="4" t="s">
        <v>100</v>
      </c>
      <c r="K290" s="4" t="s">
        <v>103</v>
      </c>
      <c r="M290" s="3" t="s">
        <v>283</v>
      </c>
      <c r="N290" s="3" t="s">
        <v>212</v>
      </c>
      <c r="O290" s="3">
        <v>56</v>
      </c>
      <c r="P290" s="3">
        <v>5</v>
      </c>
      <c r="Q290" s="3">
        <v>56</v>
      </c>
      <c r="R290" s="3">
        <v>-15</v>
      </c>
      <c r="S290" s="3">
        <v>56</v>
      </c>
    </row>
    <row r="291" spans="2:19" x14ac:dyDescent="0.25">
      <c r="B291" s="3" t="s">
        <v>284</v>
      </c>
      <c r="C291" s="3" t="s">
        <v>275</v>
      </c>
      <c r="D291" s="3">
        <v>0</v>
      </c>
      <c r="E291" s="3">
        <v>5</v>
      </c>
      <c r="F291" s="3">
        <v>48</v>
      </c>
      <c r="G291" s="3">
        <v>5</v>
      </c>
      <c r="H291" s="3" t="s">
        <v>275</v>
      </c>
      <c r="I291" s="3">
        <v>14</v>
      </c>
      <c r="J291" s="4" t="s">
        <v>100</v>
      </c>
      <c r="K291" s="4" t="s">
        <v>107</v>
      </c>
      <c r="M291" s="3" t="s">
        <v>285</v>
      </c>
      <c r="N291" s="3" t="s">
        <v>212</v>
      </c>
      <c r="O291" s="3">
        <v>57</v>
      </c>
      <c r="P291" s="3">
        <v>5</v>
      </c>
      <c r="Q291" s="3">
        <v>57</v>
      </c>
      <c r="R291" s="3">
        <v>-15</v>
      </c>
      <c r="S291" s="3">
        <v>57</v>
      </c>
    </row>
    <row r="292" spans="2:19" x14ac:dyDescent="0.25">
      <c r="B292" s="3" t="s">
        <v>284</v>
      </c>
      <c r="C292" s="3" t="s">
        <v>275</v>
      </c>
      <c r="D292" s="3">
        <v>48</v>
      </c>
      <c r="E292" s="3">
        <v>5</v>
      </c>
      <c r="F292" s="3">
        <v>57</v>
      </c>
      <c r="G292" s="3">
        <v>1</v>
      </c>
      <c r="H292" s="3" t="s">
        <v>275</v>
      </c>
      <c r="I292" s="3">
        <v>14</v>
      </c>
      <c r="J292" s="4" t="s">
        <v>100</v>
      </c>
      <c r="K292" s="4" t="s">
        <v>107</v>
      </c>
      <c r="M292" s="3" t="s">
        <v>286</v>
      </c>
      <c r="N292" s="3" t="s">
        <v>212</v>
      </c>
      <c r="O292" s="3">
        <v>58</v>
      </c>
      <c r="P292" s="3">
        <v>5</v>
      </c>
      <c r="Q292" s="3">
        <v>58</v>
      </c>
      <c r="R292" s="3">
        <v>-15</v>
      </c>
      <c r="S292" s="3">
        <v>58</v>
      </c>
    </row>
    <row r="293" spans="2:19" x14ac:dyDescent="0.25">
      <c r="B293" s="3" t="s">
        <v>284</v>
      </c>
      <c r="C293" s="3" t="s">
        <v>275</v>
      </c>
      <c r="D293" s="3">
        <v>57</v>
      </c>
      <c r="E293" s="3">
        <v>1</v>
      </c>
      <c r="F293" s="3">
        <v>0</v>
      </c>
      <c r="G293" s="3">
        <v>1</v>
      </c>
      <c r="H293" s="3" t="s">
        <v>275</v>
      </c>
      <c r="I293" s="3">
        <v>14</v>
      </c>
      <c r="J293" s="4" t="s">
        <v>100</v>
      </c>
      <c r="K293" s="4" t="s">
        <v>107</v>
      </c>
      <c r="M293" s="3" t="s">
        <v>287</v>
      </c>
      <c r="N293" s="3" t="s">
        <v>212</v>
      </c>
      <c r="O293" s="3">
        <v>59</v>
      </c>
      <c r="P293" s="3">
        <v>5</v>
      </c>
      <c r="Q293" s="3">
        <v>59</v>
      </c>
      <c r="R293" s="3">
        <v>-15</v>
      </c>
      <c r="S293" s="3">
        <v>59</v>
      </c>
    </row>
    <row r="294" spans="2:19" x14ac:dyDescent="0.25">
      <c r="B294" s="3" t="s">
        <v>284</v>
      </c>
      <c r="C294" s="3" t="s">
        <v>275</v>
      </c>
      <c r="D294" s="3">
        <v>0</v>
      </c>
      <c r="E294" s="3">
        <v>1</v>
      </c>
      <c r="F294" s="3">
        <v>0</v>
      </c>
      <c r="G294" s="3">
        <v>5</v>
      </c>
      <c r="H294" s="3" t="s">
        <v>275</v>
      </c>
      <c r="I294" s="3">
        <v>14</v>
      </c>
      <c r="J294" s="4" t="s">
        <v>100</v>
      </c>
      <c r="K294" s="4" t="s">
        <v>107</v>
      </c>
      <c r="M294" s="3" t="s">
        <v>288</v>
      </c>
      <c r="N294" s="3" t="s">
        <v>212</v>
      </c>
      <c r="O294" s="3">
        <v>60</v>
      </c>
      <c r="P294" s="3">
        <v>5</v>
      </c>
      <c r="Q294" s="3">
        <v>60</v>
      </c>
      <c r="R294" s="3">
        <v>-15</v>
      </c>
      <c r="S294" s="3">
        <v>60</v>
      </c>
    </row>
    <row r="295" spans="2:19" x14ac:dyDescent="0.25">
      <c r="B295" s="3" t="s">
        <v>289</v>
      </c>
      <c r="C295" s="3" t="s">
        <v>275</v>
      </c>
      <c r="D295" s="3">
        <v>157.203</v>
      </c>
      <c r="E295" s="3">
        <v>-7</v>
      </c>
      <c r="F295" s="3">
        <v>75</v>
      </c>
      <c r="G295" s="3">
        <v>-7</v>
      </c>
      <c r="H295" s="3" t="s">
        <v>275</v>
      </c>
      <c r="I295" s="3">
        <v>15</v>
      </c>
      <c r="J295" s="4" t="s">
        <v>100</v>
      </c>
      <c r="K295" s="4" t="s">
        <v>106</v>
      </c>
      <c r="M295" s="3" t="s">
        <v>290</v>
      </c>
      <c r="N295" s="3" t="s">
        <v>212</v>
      </c>
      <c r="O295" s="3">
        <v>61</v>
      </c>
      <c r="P295" s="3">
        <v>5</v>
      </c>
      <c r="Q295" s="3">
        <v>61</v>
      </c>
      <c r="R295" s="3">
        <v>-15</v>
      </c>
      <c r="S295" s="3">
        <v>61</v>
      </c>
    </row>
    <row r="296" spans="2:19" x14ac:dyDescent="0.25">
      <c r="B296" s="3" t="s">
        <v>289</v>
      </c>
      <c r="C296" s="3" t="s">
        <v>275</v>
      </c>
      <c r="D296" s="3">
        <v>75</v>
      </c>
      <c r="E296" s="3">
        <v>-7</v>
      </c>
      <c r="F296" s="3">
        <v>48</v>
      </c>
      <c r="G296" s="3">
        <v>5</v>
      </c>
      <c r="H296" s="3" t="s">
        <v>275</v>
      </c>
      <c r="I296" s="3">
        <v>15</v>
      </c>
      <c r="J296" s="4" t="s">
        <v>100</v>
      </c>
      <c r="K296" s="4" t="s">
        <v>106</v>
      </c>
      <c r="M296" s="3" t="s">
        <v>291</v>
      </c>
      <c r="N296" s="3" t="s">
        <v>212</v>
      </c>
      <c r="O296" s="3">
        <v>62</v>
      </c>
      <c r="P296" s="3">
        <v>5</v>
      </c>
      <c r="Q296" s="3">
        <v>62</v>
      </c>
      <c r="R296" s="3">
        <v>-15</v>
      </c>
      <c r="S296" s="3">
        <v>62</v>
      </c>
    </row>
    <row r="297" spans="2:19" x14ac:dyDescent="0.25">
      <c r="B297" s="3" t="s">
        <v>289</v>
      </c>
      <c r="C297" s="3" t="s">
        <v>275</v>
      </c>
      <c r="D297" s="3">
        <v>48</v>
      </c>
      <c r="E297" s="3">
        <v>5</v>
      </c>
      <c r="F297" s="3">
        <v>184</v>
      </c>
      <c r="G297" s="3">
        <v>5</v>
      </c>
      <c r="H297" s="3" t="s">
        <v>275</v>
      </c>
      <c r="I297" s="3">
        <v>15</v>
      </c>
      <c r="J297" s="4" t="s">
        <v>100</v>
      </c>
      <c r="K297" s="4" t="s">
        <v>106</v>
      </c>
      <c r="M297" s="3" t="s">
        <v>292</v>
      </c>
      <c r="N297" s="3" t="s">
        <v>212</v>
      </c>
      <c r="O297" s="3">
        <v>63</v>
      </c>
      <c r="P297" s="3">
        <v>5</v>
      </c>
      <c r="Q297" s="3">
        <v>63</v>
      </c>
      <c r="R297" s="3">
        <v>-15</v>
      </c>
      <c r="S297" s="3">
        <v>63</v>
      </c>
    </row>
    <row r="298" spans="2:19" x14ac:dyDescent="0.25">
      <c r="B298" s="41" t="s">
        <v>289</v>
      </c>
      <c r="C298" s="41" t="s">
        <v>275</v>
      </c>
      <c r="D298" s="41">
        <v>184</v>
      </c>
      <c r="E298" s="41">
        <v>5</v>
      </c>
      <c r="F298" s="41">
        <v>157.203</v>
      </c>
      <c r="G298" s="41">
        <v>-7</v>
      </c>
      <c r="H298" s="41" t="s">
        <v>275</v>
      </c>
      <c r="I298" s="41">
        <v>15</v>
      </c>
      <c r="J298" s="4" t="s">
        <v>100</v>
      </c>
      <c r="K298" s="4" t="s">
        <v>106</v>
      </c>
      <c r="M298" s="3" t="s">
        <v>293</v>
      </c>
      <c r="N298" s="3" t="s">
        <v>212</v>
      </c>
      <c r="O298" s="3">
        <v>64</v>
      </c>
      <c r="P298" s="3">
        <v>5</v>
      </c>
      <c r="Q298" s="3">
        <v>64</v>
      </c>
      <c r="R298" s="3">
        <v>-15</v>
      </c>
      <c r="S298" s="3">
        <v>64</v>
      </c>
    </row>
    <row r="299" spans="2:19" x14ac:dyDescent="0.25">
      <c r="B299" s="3" t="s">
        <v>294</v>
      </c>
      <c r="C299" s="3" t="s">
        <v>275</v>
      </c>
      <c r="D299" s="3">
        <v>0</v>
      </c>
      <c r="E299" s="3">
        <v>1</v>
      </c>
      <c r="F299" s="3">
        <v>57</v>
      </c>
      <c r="G299" s="3">
        <v>1</v>
      </c>
      <c r="H299" s="3" t="s">
        <v>275</v>
      </c>
      <c r="I299" s="3">
        <v>16</v>
      </c>
      <c r="J299" s="4" t="s">
        <v>100</v>
      </c>
      <c r="K299" s="4" t="s">
        <v>108</v>
      </c>
      <c r="M299" s="3" t="s">
        <v>295</v>
      </c>
      <c r="N299" s="3" t="s">
        <v>212</v>
      </c>
      <c r="O299" s="3">
        <v>65</v>
      </c>
      <c r="P299" s="3">
        <v>5</v>
      </c>
      <c r="Q299" s="3">
        <v>65</v>
      </c>
      <c r="R299" s="3">
        <v>-15</v>
      </c>
      <c r="S299" s="3">
        <v>65</v>
      </c>
    </row>
    <row r="300" spans="2:19" x14ac:dyDescent="0.25">
      <c r="B300" s="3" t="s">
        <v>294</v>
      </c>
      <c r="C300" s="3" t="s">
        <v>275</v>
      </c>
      <c r="D300" s="3">
        <v>57</v>
      </c>
      <c r="E300" s="3">
        <v>1</v>
      </c>
      <c r="F300" s="3">
        <v>72.75</v>
      </c>
      <c r="G300" s="3">
        <v>-6</v>
      </c>
      <c r="H300" s="3" t="s">
        <v>275</v>
      </c>
      <c r="I300" s="3">
        <v>16</v>
      </c>
      <c r="J300" s="4" t="s">
        <v>100</v>
      </c>
      <c r="K300" s="4" t="s">
        <v>108</v>
      </c>
      <c r="M300" s="3" t="s">
        <v>296</v>
      </c>
      <c r="N300" s="3" t="s">
        <v>212</v>
      </c>
      <c r="O300" s="3">
        <v>66</v>
      </c>
      <c r="P300" s="3">
        <v>5</v>
      </c>
      <c r="Q300" s="3">
        <v>66</v>
      </c>
      <c r="R300" s="3">
        <v>-15</v>
      </c>
      <c r="S300" s="3">
        <v>66</v>
      </c>
    </row>
    <row r="301" spans="2:19" x14ac:dyDescent="0.25">
      <c r="B301" s="3" t="s">
        <v>294</v>
      </c>
      <c r="C301" s="3" t="s">
        <v>275</v>
      </c>
      <c r="D301" s="3">
        <v>72.75</v>
      </c>
      <c r="E301" s="3">
        <v>-6</v>
      </c>
      <c r="F301" s="3">
        <v>0</v>
      </c>
      <c r="G301" s="3">
        <v>-6</v>
      </c>
      <c r="H301" s="3" t="s">
        <v>275</v>
      </c>
      <c r="I301" s="3">
        <v>16</v>
      </c>
      <c r="J301" s="4" t="s">
        <v>100</v>
      </c>
      <c r="K301" s="4" t="s">
        <v>108</v>
      </c>
      <c r="M301" s="3" t="s">
        <v>297</v>
      </c>
      <c r="N301" s="3" t="s">
        <v>212</v>
      </c>
      <c r="O301" s="3">
        <v>67</v>
      </c>
      <c r="P301" s="3">
        <v>5</v>
      </c>
      <c r="Q301" s="3">
        <v>67</v>
      </c>
      <c r="R301" s="3">
        <v>-15</v>
      </c>
      <c r="S301" s="3">
        <v>67</v>
      </c>
    </row>
    <row r="302" spans="2:19" x14ac:dyDescent="0.25">
      <c r="B302" s="3" t="s">
        <v>294</v>
      </c>
      <c r="C302" s="3" t="s">
        <v>275</v>
      </c>
      <c r="D302" s="3">
        <v>0</v>
      </c>
      <c r="E302" s="3">
        <v>-6</v>
      </c>
      <c r="F302" s="3">
        <v>0</v>
      </c>
      <c r="G302" s="3">
        <v>1</v>
      </c>
      <c r="H302" s="3" t="s">
        <v>275</v>
      </c>
      <c r="I302" s="3">
        <v>16</v>
      </c>
      <c r="J302" s="4" t="s">
        <v>100</v>
      </c>
      <c r="K302" s="4" t="s">
        <v>108</v>
      </c>
      <c r="M302" s="3" t="s">
        <v>298</v>
      </c>
      <c r="N302" s="3" t="s">
        <v>212</v>
      </c>
      <c r="O302" s="3">
        <v>68</v>
      </c>
      <c r="P302" s="3">
        <v>5</v>
      </c>
      <c r="Q302" s="3">
        <v>68</v>
      </c>
      <c r="R302" s="3">
        <v>-15</v>
      </c>
      <c r="S302" s="3">
        <v>68</v>
      </c>
    </row>
    <row r="303" spans="2:19" x14ac:dyDescent="0.25">
      <c r="B303" s="3" t="s">
        <v>299</v>
      </c>
      <c r="C303" s="3" t="s">
        <v>275</v>
      </c>
      <c r="D303" s="3">
        <v>0</v>
      </c>
      <c r="E303" s="3">
        <v>-15</v>
      </c>
      <c r="F303" s="3">
        <v>80</v>
      </c>
      <c r="G303" s="3">
        <v>-15</v>
      </c>
      <c r="H303" s="3" t="s">
        <v>275</v>
      </c>
      <c r="I303" s="3">
        <v>17</v>
      </c>
      <c r="J303" s="4" t="s">
        <v>100</v>
      </c>
      <c r="K303" s="4" t="s">
        <v>109</v>
      </c>
      <c r="M303" s="3" t="s">
        <v>300</v>
      </c>
      <c r="N303" s="3" t="s">
        <v>212</v>
      </c>
      <c r="O303" s="3">
        <v>69</v>
      </c>
      <c r="P303" s="3">
        <v>5</v>
      </c>
      <c r="Q303" s="3">
        <v>69</v>
      </c>
      <c r="R303" s="3">
        <v>-15</v>
      </c>
      <c r="S303" s="3">
        <v>69</v>
      </c>
    </row>
    <row r="304" spans="2:19" x14ac:dyDescent="0.25">
      <c r="B304" s="3" t="s">
        <v>299</v>
      </c>
      <c r="C304" s="3" t="s">
        <v>275</v>
      </c>
      <c r="D304" s="3">
        <v>80</v>
      </c>
      <c r="E304" s="3">
        <v>-15</v>
      </c>
      <c r="F304" s="3">
        <v>80</v>
      </c>
      <c r="G304" s="3">
        <v>-7</v>
      </c>
      <c r="H304" s="3" t="s">
        <v>275</v>
      </c>
      <c r="I304" s="3">
        <v>17</v>
      </c>
      <c r="J304" s="4" t="s">
        <v>100</v>
      </c>
      <c r="K304" s="4" t="s">
        <v>109</v>
      </c>
      <c r="M304" s="3" t="s">
        <v>301</v>
      </c>
      <c r="N304" s="3" t="s">
        <v>212</v>
      </c>
      <c r="O304" s="3">
        <v>70</v>
      </c>
      <c r="P304" s="3">
        <v>5</v>
      </c>
      <c r="Q304" s="3">
        <v>70</v>
      </c>
      <c r="R304" s="3">
        <v>-15</v>
      </c>
      <c r="S304" s="3">
        <v>70</v>
      </c>
    </row>
    <row r="305" spans="2:19" x14ac:dyDescent="0.25">
      <c r="B305" s="3" t="s">
        <v>299</v>
      </c>
      <c r="C305" s="3" t="s">
        <v>275</v>
      </c>
      <c r="D305" s="3">
        <v>80</v>
      </c>
      <c r="E305" s="3">
        <v>-7</v>
      </c>
      <c r="F305" s="3">
        <v>75</v>
      </c>
      <c r="G305" s="3">
        <v>-7</v>
      </c>
      <c r="H305" s="3" t="s">
        <v>275</v>
      </c>
      <c r="I305" s="3">
        <v>17</v>
      </c>
      <c r="J305" s="4" t="s">
        <v>100</v>
      </c>
      <c r="K305" s="4" t="s">
        <v>109</v>
      </c>
      <c r="M305" s="3" t="s">
        <v>302</v>
      </c>
      <c r="N305" s="3" t="s">
        <v>212</v>
      </c>
      <c r="O305" s="3">
        <v>71</v>
      </c>
      <c r="P305" s="3">
        <v>5</v>
      </c>
      <c r="Q305" s="3">
        <v>71</v>
      </c>
      <c r="R305" s="3">
        <v>-15</v>
      </c>
      <c r="S305" s="3">
        <v>71</v>
      </c>
    </row>
    <row r="306" spans="2:19" x14ac:dyDescent="0.25">
      <c r="B306" s="3" t="s">
        <v>299</v>
      </c>
      <c r="C306" s="3" t="s">
        <v>275</v>
      </c>
      <c r="D306" s="3">
        <v>75</v>
      </c>
      <c r="E306" s="3">
        <v>-7</v>
      </c>
      <c r="F306" s="3">
        <v>72.75</v>
      </c>
      <c r="G306" s="3">
        <v>-6</v>
      </c>
      <c r="H306" s="3" t="s">
        <v>275</v>
      </c>
      <c r="I306" s="3">
        <v>17</v>
      </c>
      <c r="J306" s="4" t="s">
        <v>100</v>
      </c>
      <c r="K306" s="4" t="s">
        <v>109</v>
      </c>
      <c r="M306" s="3" t="s">
        <v>303</v>
      </c>
      <c r="N306" s="3" t="s">
        <v>212</v>
      </c>
      <c r="O306" s="3">
        <v>72</v>
      </c>
      <c r="P306" s="3">
        <v>5</v>
      </c>
      <c r="Q306" s="3">
        <v>72</v>
      </c>
      <c r="R306" s="3">
        <v>-15</v>
      </c>
      <c r="S306" s="3">
        <v>72</v>
      </c>
    </row>
    <row r="307" spans="2:19" x14ac:dyDescent="0.25">
      <c r="B307" s="3" t="s">
        <v>299</v>
      </c>
      <c r="C307" s="3" t="s">
        <v>275</v>
      </c>
      <c r="D307" s="3">
        <v>72.75</v>
      </c>
      <c r="E307" s="3">
        <v>-6</v>
      </c>
      <c r="F307" s="3">
        <v>0</v>
      </c>
      <c r="G307" s="3">
        <v>-6</v>
      </c>
      <c r="H307" s="3" t="s">
        <v>275</v>
      </c>
      <c r="I307" s="3">
        <v>17</v>
      </c>
      <c r="J307" s="4" t="s">
        <v>100</v>
      </c>
      <c r="K307" s="4" t="s">
        <v>109</v>
      </c>
      <c r="M307" s="3" t="s">
        <v>304</v>
      </c>
      <c r="N307" s="3" t="s">
        <v>212</v>
      </c>
      <c r="O307" s="3">
        <v>73</v>
      </c>
      <c r="P307" s="3">
        <v>5</v>
      </c>
      <c r="Q307" s="3">
        <v>73</v>
      </c>
      <c r="R307" s="3">
        <v>-15</v>
      </c>
      <c r="S307" s="3">
        <v>73</v>
      </c>
    </row>
    <row r="308" spans="2:19" x14ac:dyDescent="0.25">
      <c r="B308" s="3" t="s">
        <v>299</v>
      </c>
      <c r="C308" s="3" t="s">
        <v>275</v>
      </c>
      <c r="D308" s="3">
        <v>0</v>
      </c>
      <c r="E308" s="3">
        <v>-6</v>
      </c>
      <c r="F308" s="3">
        <v>0</v>
      </c>
      <c r="G308" s="3">
        <v>-15</v>
      </c>
      <c r="H308" s="3" t="s">
        <v>275</v>
      </c>
      <c r="I308" s="3">
        <v>17</v>
      </c>
      <c r="J308" s="4" t="s">
        <v>100</v>
      </c>
      <c r="K308" s="4" t="s">
        <v>109</v>
      </c>
      <c r="M308" s="3" t="s">
        <v>305</v>
      </c>
      <c r="N308" s="3" t="s">
        <v>212</v>
      </c>
      <c r="O308" s="3">
        <v>74</v>
      </c>
      <c r="P308" s="3">
        <v>5</v>
      </c>
      <c r="Q308" s="3">
        <v>74</v>
      </c>
      <c r="R308" s="3">
        <v>-15</v>
      </c>
      <c r="S308" s="3">
        <v>74</v>
      </c>
    </row>
    <row r="309" spans="2:19" x14ac:dyDescent="0.25">
      <c r="B309" s="3" t="s">
        <v>306</v>
      </c>
      <c r="C309" s="3" t="s">
        <v>307</v>
      </c>
      <c r="D309" s="3">
        <v>73.153000000000006</v>
      </c>
      <c r="E309" s="3">
        <v>20</v>
      </c>
      <c r="F309" s="3">
        <v>52.929000000000002</v>
      </c>
      <c r="G309" s="3">
        <v>20</v>
      </c>
      <c r="H309" s="3" t="s">
        <v>154</v>
      </c>
      <c r="I309" s="3">
        <v>18</v>
      </c>
      <c r="J309" s="4" t="s">
        <v>100</v>
      </c>
      <c r="K309" s="4" t="s">
        <v>111</v>
      </c>
      <c r="M309" s="3" t="s">
        <v>308</v>
      </c>
      <c r="N309" s="3" t="s">
        <v>212</v>
      </c>
      <c r="O309" s="3">
        <v>75</v>
      </c>
      <c r="P309" s="3">
        <v>5</v>
      </c>
      <c r="Q309" s="3">
        <v>75</v>
      </c>
      <c r="R309" s="3">
        <v>-15</v>
      </c>
      <c r="S309" s="3">
        <v>75</v>
      </c>
    </row>
    <row r="310" spans="2:19" x14ac:dyDescent="0.25">
      <c r="B310" s="3" t="s">
        <v>306</v>
      </c>
      <c r="C310" s="3" t="s">
        <v>307</v>
      </c>
      <c r="D310" s="3">
        <v>52.929000000000002</v>
      </c>
      <c r="E310" s="3">
        <v>20</v>
      </c>
      <c r="F310" s="3">
        <v>52.929000000000002</v>
      </c>
      <c r="G310" s="3">
        <v>23</v>
      </c>
      <c r="H310" s="3" t="s">
        <v>154</v>
      </c>
      <c r="I310" s="3">
        <v>18</v>
      </c>
      <c r="J310" s="4" t="s">
        <v>100</v>
      </c>
      <c r="K310" s="4" t="s">
        <v>111</v>
      </c>
      <c r="M310" s="3" t="s">
        <v>309</v>
      </c>
      <c r="N310" s="3" t="s">
        <v>212</v>
      </c>
      <c r="O310" s="3">
        <v>76</v>
      </c>
      <c r="P310" s="3">
        <v>5</v>
      </c>
      <c r="Q310" s="3">
        <v>76</v>
      </c>
      <c r="R310" s="3">
        <v>-15</v>
      </c>
      <c r="S310" s="3">
        <v>76</v>
      </c>
    </row>
    <row r="311" spans="2:19" x14ac:dyDescent="0.25">
      <c r="B311" s="3" t="s">
        <v>306</v>
      </c>
      <c r="C311" s="3" t="s">
        <v>307</v>
      </c>
      <c r="D311" s="3">
        <v>52.929000000000002</v>
      </c>
      <c r="E311" s="3">
        <v>23</v>
      </c>
      <c r="F311" s="3">
        <v>53.929000000000002</v>
      </c>
      <c r="G311" s="3">
        <v>23</v>
      </c>
      <c r="H311" s="3" t="s">
        <v>154</v>
      </c>
      <c r="I311" s="3">
        <v>18</v>
      </c>
      <c r="J311" s="4" t="s">
        <v>100</v>
      </c>
      <c r="K311" s="4" t="s">
        <v>111</v>
      </c>
      <c r="M311" s="3" t="s">
        <v>310</v>
      </c>
      <c r="N311" s="3" t="s">
        <v>212</v>
      </c>
      <c r="O311" s="3">
        <v>77</v>
      </c>
      <c r="P311" s="3">
        <v>5</v>
      </c>
      <c r="Q311" s="3">
        <v>77</v>
      </c>
      <c r="R311" s="3">
        <v>-15</v>
      </c>
      <c r="S311" s="3">
        <v>77</v>
      </c>
    </row>
    <row r="312" spans="2:19" x14ac:dyDescent="0.25">
      <c r="B312" s="3" t="s">
        <v>306</v>
      </c>
      <c r="C312" s="3" t="s">
        <v>307</v>
      </c>
      <c r="D312" s="3">
        <v>53.929000000000002</v>
      </c>
      <c r="E312" s="3">
        <v>23</v>
      </c>
      <c r="F312" s="3">
        <v>53.929000000000002</v>
      </c>
      <c r="G312" s="3">
        <v>21.5</v>
      </c>
      <c r="H312" s="3" t="s">
        <v>154</v>
      </c>
      <c r="I312" s="3">
        <v>18</v>
      </c>
      <c r="J312" s="4" t="s">
        <v>100</v>
      </c>
      <c r="K312" s="4" t="s">
        <v>111</v>
      </c>
      <c r="M312" s="3" t="s">
        <v>311</v>
      </c>
      <c r="N312" s="3" t="s">
        <v>212</v>
      </c>
      <c r="O312" s="3">
        <v>78</v>
      </c>
      <c r="P312" s="3">
        <v>5</v>
      </c>
      <c r="Q312" s="3">
        <v>78</v>
      </c>
      <c r="R312" s="3">
        <v>-15</v>
      </c>
      <c r="S312" s="3">
        <v>78</v>
      </c>
    </row>
    <row r="313" spans="2:19" x14ac:dyDescent="0.25">
      <c r="B313" s="3" t="s">
        <v>306</v>
      </c>
      <c r="C313" s="3" t="s">
        <v>307</v>
      </c>
      <c r="D313" s="3">
        <v>53.929000000000002</v>
      </c>
      <c r="E313" s="3">
        <v>21.5</v>
      </c>
      <c r="F313" s="3">
        <v>70.83</v>
      </c>
      <c r="G313" s="3">
        <v>21.5</v>
      </c>
      <c r="H313" s="3" t="s">
        <v>154</v>
      </c>
      <c r="I313" s="3">
        <v>18</v>
      </c>
      <c r="J313" s="4" t="s">
        <v>100</v>
      </c>
      <c r="K313" s="4" t="s">
        <v>111</v>
      </c>
      <c r="M313" s="3" t="s">
        <v>312</v>
      </c>
      <c r="N313" s="3" t="s">
        <v>212</v>
      </c>
      <c r="O313" s="3">
        <v>79</v>
      </c>
      <c r="P313" s="3">
        <v>5</v>
      </c>
      <c r="Q313" s="3">
        <v>79</v>
      </c>
      <c r="R313" s="3">
        <v>-15</v>
      </c>
      <c r="S313" s="3">
        <v>79</v>
      </c>
    </row>
    <row r="314" spans="2:19" x14ac:dyDescent="0.25">
      <c r="B314" s="3" t="s">
        <v>306</v>
      </c>
      <c r="C314" s="3" t="s">
        <v>307</v>
      </c>
      <c r="D314" s="3">
        <v>70.83</v>
      </c>
      <c r="E314" s="3">
        <v>21.5</v>
      </c>
      <c r="F314" s="3">
        <v>70.83</v>
      </c>
      <c r="G314" s="3">
        <v>23</v>
      </c>
      <c r="H314" s="3" t="s">
        <v>154</v>
      </c>
      <c r="I314" s="3">
        <v>18</v>
      </c>
      <c r="J314" s="4" t="s">
        <v>100</v>
      </c>
      <c r="K314" s="4" t="s">
        <v>111</v>
      </c>
      <c r="M314" s="3" t="s">
        <v>313</v>
      </c>
      <c r="N314" s="3" t="s">
        <v>212</v>
      </c>
      <c r="O314" s="3">
        <v>80</v>
      </c>
      <c r="P314" s="3">
        <v>5</v>
      </c>
      <c r="Q314" s="3">
        <v>80</v>
      </c>
      <c r="R314" s="3">
        <v>-15</v>
      </c>
      <c r="S314" s="3">
        <v>80</v>
      </c>
    </row>
    <row r="315" spans="2:19" x14ac:dyDescent="0.25">
      <c r="B315" s="3" t="s">
        <v>306</v>
      </c>
      <c r="C315" s="3" t="s">
        <v>307</v>
      </c>
      <c r="D315" s="3">
        <v>70.83</v>
      </c>
      <c r="E315" s="3">
        <v>23</v>
      </c>
      <c r="F315" s="3">
        <v>71.83</v>
      </c>
      <c r="G315" s="3">
        <v>23</v>
      </c>
      <c r="H315" s="3" t="s">
        <v>154</v>
      </c>
      <c r="I315" s="3">
        <v>18</v>
      </c>
      <c r="J315" s="4" t="s">
        <v>100</v>
      </c>
      <c r="K315" s="4" t="s">
        <v>111</v>
      </c>
      <c r="M315" s="3"/>
      <c r="N315" s="3"/>
      <c r="O315" s="3"/>
      <c r="P315" s="3"/>
      <c r="Q315" s="3"/>
      <c r="R315" s="3"/>
      <c r="S315" s="3"/>
    </row>
    <row r="316" spans="2:19" x14ac:dyDescent="0.25">
      <c r="B316" s="41" t="s">
        <v>306</v>
      </c>
      <c r="C316" s="41" t="s">
        <v>307</v>
      </c>
      <c r="D316" s="41">
        <v>71.83</v>
      </c>
      <c r="E316" s="41">
        <v>23</v>
      </c>
      <c r="F316" s="41">
        <v>71.83</v>
      </c>
      <c r="G316" s="41">
        <v>21.5</v>
      </c>
      <c r="H316" s="41" t="s">
        <v>154</v>
      </c>
      <c r="I316" s="41">
        <v>18</v>
      </c>
      <c r="J316" s="74" t="s">
        <v>100</v>
      </c>
      <c r="K316" s="74" t="s">
        <v>111</v>
      </c>
      <c r="M316" s="3"/>
      <c r="N316" s="3"/>
      <c r="O316" s="3"/>
      <c r="P316" s="3"/>
      <c r="Q316" s="3"/>
      <c r="R316" s="3"/>
      <c r="S316" s="3"/>
    </row>
    <row r="317" spans="2:19" x14ac:dyDescent="0.25">
      <c r="B317" s="3" t="s">
        <v>306</v>
      </c>
      <c r="C317" s="3" t="s">
        <v>307</v>
      </c>
      <c r="D317" s="3">
        <v>71.83</v>
      </c>
      <c r="E317" s="3">
        <v>21.5</v>
      </c>
      <c r="F317" s="3">
        <v>75.33</v>
      </c>
      <c r="G317" s="3">
        <v>21.5</v>
      </c>
      <c r="H317" s="3" t="s">
        <v>154</v>
      </c>
      <c r="I317" s="3">
        <v>18</v>
      </c>
      <c r="J317" s="35" t="s">
        <v>100</v>
      </c>
      <c r="K317" s="35" t="s">
        <v>111</v>
      </c>
      <c r="M317" s="3"/>
      <c r="N317" s="3"/>
      <c r="O317" s="3"/>
      <c r="P317" s="3"/>
      <c r="Q317" s="3"/>
      <c r="R317" s="3"/>
      <c r="S317" s="3"/>
    </row>
    <row r="318" spans="2:19" x14ac:dyDescent="0.25">
      <c r="B318" s="3" t="s">
        <v>306</v>
      </c>
      <c r="C318" s="3" t="s">
        <v>307</v>
      </c>
      <c r="D318" s="3">
        <v>75.33</v>
      </c>
      <c r="E318" s="3">
        <v>21.5</v>
      </c>
      <c r="F318" s="3">
        <v>73.153000000000006</v>
      </c>
      <c r="G318" s="3">
        <v>20</v>
      </c>
      <c r="H318" s="3" t="s">
        <v>154</v>
      </c>
      <c r="I318" s="3">
        <v>18</v>
      </c>
      <c r="J318" s="35" t="s">
        <v>100</v>
      </c>
      <c r="K318" s="35" t="s">
        <v>111</v>
      </c>
      <c r="M318" s="3"/>
      <c r="N318" s="3"/>
      <c r="O318" s="3"/>
      <c r="P318" s="3"/>
      <c r="Q318" s="3"/>
      <c r="R318" s="3"/>
      <c r="S318" s="3"/>
    </row>
    <row r="319" spans="2:19" x14ac:dyDescent="0.25">
      <c r="B319" s="3" t="s">
        <v>314</v>
      </c>
      <c r="C319" s="3" t="s">
        <v>307</v>
      </c>
      <c r="D319" s="3">
        <v>73.153000000000006</v>
      </c>
      <c r="E319" s="3">
        <v>20</v>
      </c>
      <c r="F319" s="3">
        <v>76.33</v>
      </c>
      <c r="G319" s="3">
        <v>20</v>
      </c>
      <c r="H319" s="3" t="s">
        <v>154</v>
      </c>
      <c r="I319" s="3">
        <v>19</v>
      </c>
      <c r="J319" s="35" t="s">
        <v>100</v>
      </c>
      <c r="K319" s="35" t="s">
        <v>104</v>
      </c>
      <c r="M319" s="3"/>
      <c r="N319" s="3"/>
      <c r="O319" s="3"/>
      <c r="P319" s="3"/>
      <c r="Q319" s="3"/>
      <c r="R319" s="3"/>
      <c r="S319" s="3"/>
    </row>
    <row r="320" spans="2:19" x14ac:dyDescent="0.25">
      <c r="B320" s="3" t="s">
        <v>314</v>
      </c>
      <c r="C320" s="3" t="s">
        <v>307</v>
      </c>
      <c r="D320" s="3">
        <v>76.33</v>
      </c>
      <c r="E320" s="3">
        <v>20</v>
      </c>
      <c r="F320" s="3">
        <v>100</v>
      </c>
      <c r="G320" s="3">
        <v>12</v>
      </c>
      <c r="H320" s="3" t="s">
        <v>154</v>
      </c>
      <c r="I320" s="3">
        <v>19</v>
      </c>
      <c r="J320" s="35" t="s">
        <v>100</v>
      </c>
      <c r="K320" s="35" t="s">
        <v>104</v>
      </c>
    </row>
    <row r="321" spans="2:11" x14ac:dyDescent="0.25">
      <c r="B321" s="3" t="s">
        <v>314</v>
      </c>
      <c r="C321" s="3" t="s">
        <v>307</v>
      </c>
      <c r="D321" s="3">
        <v>100</v>
      </c>
      <c r="E321" s="3">
        <v>12</v>
      </c>
      <c r="F321" s="3">
        <v>108.789</v>
      </c>
      <c r="G321" s="3">
        <v>12</v>
      </c>
      <c r="H321" s="3" t="s">
        <v>154</v>
      </c>
      <c r="I321" s="3">
        <v>19</v>
      </c>
      <c r="J321" s="35" t="s">
        <v>100</v>
      </c>
      <c r="K321" s="35" t="s">
        <v>104</v>
      </c>
    </row>
    <row r="322" spans="2:11" x14ac:dyDescent="0.25">
      <c r="B322" s="3" t="s">
        <v>314</v>
      </c>
      <c r="C322" s="3" t="s">
        <v>307</v>
      </c>
      <c r="D322" s="3">
        <v>108.789</v>
      </c>
      <c r="E322" s="3">
        <v>12</v>
      </c>
      <c r="F322" s="3">
        <v>133.245</v>
      </c>
      <c r="G322" s="3">
        <v>5</v>
      </c>
      <c r="H322" s="3" t="s">
        <v>154</v>
      </c>
      <c r="I322" s="3">
        <v>19</v>
      </c>
      <c r="J322" s="35" t="s">
        <v>100</v>
      </c>
      <c r="K322" s="35" t="s">
        <v>104</v>
      </c>
    </row>
    <row r="323" spans="2:11" x14ac:dyDescent="0.25">
      <c r="B323" s="3" t="s">
        <v>314</v>
      </c>
      <c r="C323" s="3" t="s">
        <v>307</v>
      </c>
      <c r="D323" s="3">
        <v>133.245</v>
      </c>
      <c r="E323" s="3">
        <v>5</v>
      </c>
      <c r="F323" s="3">
        <v>145.20099999999999</v>
      </c>
      <c r="G323" s="3">
        <v>5</v>
      </c>
      <c r="H323" s="3" t="s">
        <v>154</v>
      </c>
      <c r="I323" s="3">
        <v>19</v>
      </c>
      <c r="J323" s="35" t="s">
        <v>100</v>
      </c>
      <c r="K323" s="35" t="s">
        <v>104</v>
      </c>
    </row>
    <row r="324" spans="2:11" x14ac:dyDescent="0.25">
      <c r="B324" s="3" t="s">
        <v>314</v>
      </c>
      <c r="C324" s="3" t="s">
        <v>307</v>
      </c>
      <c r="D324" s="3">
        <v>145.20099999999999</v>
      </c>
      <c r="E324" s="3">
        <v>5</v>
      </c>
      <c r="F324" s="3">
        <v>140.56</v>
      </c>
      <c r="G324" s="3">
        <v>7.5</v>
      </c>
      <c r="H324" s="3" t="s">
        <v>154</v>
      </c>
      <c r="I324" s="3">
        <v>19</v>
      </c>
      <c r="J324" s="35" t="s">
        <v>100</v>
      </c>
      <c r="K324" s="35" t="s">
        <v>104</v>
      </c>
    </row>
    <row r="325" spans="2:11" x14ac:dyDescent="0.25">
      <c r="B325" s="3" t="s">
        <v>314</v>
      </c>
      <c r="C325" s="3" t="s">
        <v>307</v>
      </c>
      <c r="D325" s="3">
        <v>140.56</v>
      </c>
      <c r="E325" s="3">
        <v>7.5</v>
      </c>
      <c r="F325" s="3">
        <v>135</v>
      </c>
      <c r="G325" s="3">
        <v>7.5</v>
      </c>
      <c r="H325" s="3" t="s">
        <v>154</v>
      </c>
      <c r="I325" s="3">
        <v>19</v>
      </c>
      <c r="J325" s="35" t="s">
        <v>100</v>
      </c>
      <c r="K325" s="35" t="s">
        <v>104</v>
      </c>
    </row>
    <row r="326" spans="2:11" x14ac:dyDescent="0.25">
      <c r="B326" s="3" t="s">
        <v>314</v>
      </c>
      <c r="C326" s="3" t="s">
        <v>307</v>
      </c>
      <c r="D326" s="3">
        <v>135</v>
      </c>
      <c r="E326" s="3">
        <v>7.5</v>
      </c>
      <c r="F326" s="3">
        <v>110</v>
      </c>
      <c r="G326" s="3">
        <v>13.5</v>
      </c>
      <c r="H326" s="3" t="s">
        <v>154</v>
      </c>
      <c r="I326" s="3">
        <v>19</v>
      </c>
      <c r="J326" s="35" t="s">
        <v>100</v>
      </c>
      <c r="K326" s="35" t="s">
        <v>104</v>
      </c>
    </row>
    <row r="327" spans="2:11" x14ac:dyDescent="0.25">
      <c r="B327" s="3" t="s">
        <v>314</v>
      </c>
      <c r="C327" s="3" t="s">
        <v>307</v>
      </c>
      <c r="D327" s="3">
        <v>110</v>
      </c>
      <c r="E327" s="3">
        <v>13.5</v>
      </c>
      <c r="F327" s="3">
        <v>100</v>
      </c>
      <c r="G327" s="3">
        <v>13.5</v>
      </c>
      <c r="H327" s="3" t="s">
        <v>154</v>
      </c>
      <c r="I327" s="3">
        <v>19</v>
      </c>
      <c r="J327" s="35" t="s">
        <v>100</v>
      </c>
      <c r="K327" s="35" t="s">
        <v>104</v>
      </c>
    </row>
    <row r="328" spans="2:11" x14ac:dyDescent="0.25">
      <c r="B328" s="3" t="s">
        <v>314</v>
      </c>
      <c r="C328" s="3" t="s">
        <v>307</v>
      </c>
      <c r="D328" s="3">
        <v>100</v>
      </c>
      <c r="E328" s="3">
        <v>13.5</v>
      </c>
      <c r="F328" s="3">
        <v>76.33</v>
      </c>
      <c r="G328" s="3">
        <v>21.5</v>
      </c>
      <c r="H328" s="3" t="s">
        <v>154</v>
      </c>
      <c r="I328" s="3">
        <v>19</v>
      </c>
      <c r="J328" s="35" t="s">
        <v>100</v>
      </c>
      <c r="K328" s="35" t="s">
        <v>104</v>
      </c>
    </row>
    <row r="329" spans="2:11" x14ac:dyDescent="0.25">
      <c r="B329" s="3" t="s">
        <v>314</v>
      </c>
      <c r="C329" s="3" t="s">
        <v>307</v>
      </c>
      <c r="D329" s="3">
        <v>76.33</v>
      </c>
      <c r="E329" s="3">
        <v>21.5</v>
      </c>
      <c r="F329" s="3">
        <v>75.33</v>
      </c>
      <c r="G329" s="3">
        <v>21.5</v>
      </c>
      <c r="H329" s="3" t="s">
        <v>154</v>
      </c>
      <c r="I329" s="3">
        <v>19</v>
      </c>
      <c r="J329" s="35" t="s">
        <v>100</v>
      </c>
      <c r="K329" s="35" t="s">
        <v>104</v>
      </c>
    </row>
    <row r="330" spans="2:11" x14ac:dyDescent="0.25">
      <c r="B330" s="3" t="s">
        <v>314</v>
      </c>
      <c r="C330" s="3" t="s">
        <v>307</v>
      </c>
      <c r="D330" s="3">
        <v>75.33</v>
      </c>
      <c r="E330" s="3">
        <v>21.5</v>
      </c>
      <c r="F330" s="3">
        <v>73.153000000000006</v>
      </c>
      <c r="G330" s="3">
        <v>20</v>
      </c>
      <c r="H330" s="3" t="s">
        <v>154</v>
      </c>
      <c r="I330" s="3">
        <v>19</v>
      </c>
      <c r="J330" s="35" t="s">
        <v>100</v>
      </c>
      <c r="K330" s="35" t="s">
        <v>104</v>
      </c>
    </row>
    <row r="331" spans="2:11" x14ac:dyDescent="0.25">
      <c r="B331" s="3"/>
      <c r="C331" s="3"/>
      <c r="D331" s="3"/>
      <c r="E331" s="3"/>
      <c r="F331" s="3"/>
      <c r="G331" s="3"/>
      <c r="H331" s="3"/>
      <c r="I331" s="3"/>
      <c r="J331" s="3"/>
      <c r="K331" s="3"/>
    </row>
    <row r="332" spans="2:11" x14ac:dyDescent="0.25">
      <c r="B332" s="3"/>
      <c r="C332" s="3"/>
      <c r="D332" s="3"/>
      <c r="E332" s="3"/>
      <c r="F332" s="3"/>
      <c r="G332" s="3"/>
      <c r="H332" s="3"/>
      <c r="I332" s="3"/>
      <c r="J332" s="3"/>
      <c r="K332" s="3"/>
    </row>
    <row r="333" spans="2:11" x14ac:dyDescent="0.25">
      <c r="B333" s="3"/>
      <c r="C333" s="3"/>
      <c r="D333" s="3"/>
      <c r="E333" s="3"/>
      <c r="F333" s="3"/>
      <c r="G333" s="3"/>
      <c r="H333" s="3"/>
      <c r="I333" s="3"/>
      <c r="J333" s="3"/>
      <c r="K333" s="3"/>
    </row>
    <row r="334" spans="2:11" x14ac:dyDescent="0.25">
      <c r="B334" s="3"/>
      <c r="C334" s="3"/>
      <c r="D334" s="3"/>
      <c r="E334" s="3"/>
      <c r="F334" s="3"/>
      <c r="G334" s="3"/>
      <c r="H334" s="3"/>
      <c r="I334" s="3"/>
      <c r="J334" s="3"/>
      <c r="K334" s="3"/>
    </row>
  </sheetData>
  <mergeCells count="1">
    <mergeCell ref="AD5:AJ5"/>
  </mergeCells>
  <dataValidations count="19">
    <dataValidation type="list" allowBlank="1" showInputMessage="1" showErrorMessage="1" sqref="I43:I62 I91:I110 I115:I134 I139:I158 I163:I182 I187:I202 I211:I230" xr:uid="{00000000-0002-0000-0200-000000000000}">
      <formula1>"elastic,elastoplastic"</formula1>
    </dataValidation>
    <dataValidation type="list" allowBlank="1" showInputMessage="1" showErrorMessage="1" sqref="M211:M230 P43:Q62 P67:Q67 P70:Q70" xr:uid="{00000000-0002-0000-0200-000001000000}">
      <formula1>"yes,no"</formula1>
    </dataValidation>
    <dataValidation type="list" allowBlank="1" showInputMessage="1" showErrorMessage="1" sqref="N115:N134 O187:O202" xr:uid="{00000000-0002-0000-0200-000002000000}">
      <formula1>"linear,layer_dependent"</formula1>
    </dataValidation>
    <dataValidation type="list" allowBlank="1" showInputMessage="1" showErrorMessage="1" sqref="H187:H202" xr:uid="{00000000-0002-0000-0200-000003000000}">
      <formula1>"solid_circular,circular_tube,square"</formula1>
    </dataValidation>
    <dataValidation type="list" allowBlank="1" showInputMessage="1" showErrorMessage="1" sqref="H139:H158 H177:H182" xr:uid="{00000000-0002-0000-0200-000004000000}">
      <formula1>"strut_beam, strut_circular, other"</formula1>
    </dataValidation>
    <dataValidation type="list" allowBlank="1" showInputMessage="1" showErrorMessage="1" sqref="L211:L214 O43:O46 O67 O70" xr:uid="{00000000-0002-0000-0200-000005000000}">
      <formula1>"both, positive, negative"</formula1>
    </dataValidation>
    <dataValidation type="list" allowBlank="1" showInputMessage="1" showErrorMessage="1" sqref="H91:H110" xr:uid="{00000000-0002-0000-0200-000006000000}">
      <formula1>"round_bar,strand,other"</formula1>
    </dataValidation>
    <dataValidation type="list" allowBlank="1" showInputMessage="1" showErrorMessage="1" sqref="J235:K330" xr:uid="{00000000-0002-0000-0200-000007000000}">
      <formula1>$C$7:$C$17</formula1>
    </dataValidation>
    <dataValidation type="list" allowBlank="1" showInputMessage="1" showErrorMessage="1" sqref="H115:H134" xr:uid="{00000000-0002-0000-0200-000008000000}">
      <formula1>"grout_body, soil nail, other"</formula1>
    </dataValidation>
    <dataValidation type="list" allowBlank="1" showInputMessage="1" showErrorMessage="1" sqref="H163:H176" xr:uid="{00000000-0002-0000-0200-000009000000}">
      <formula1>"FE_strut, other"</formula1>
    </dataValidation>
    <dataValidation type="list" allowBlank="1" showInputMessage="1" showErrorMessage="1" sqref="H67:H86" xr:uid="{00000000-0002-0000-0200-00000A000000}">
      <formula1>"primary, secondary"</formula1>
    </dataValidation>
    <dataValidation type="list" allowBlank="1" showInputMessage="1" showErrorMessage="1" sqref="I67:I86" xr:uid="{00000000-0002-0000-0200-00000B000000}">
      <formula1>"plate_elastic, plate_ePlastic, str_volume"</formula1>
    </dataValidation>
    <dataValidation type="list" allowBlank="1" showInputMessage="1" showErrorMessage="1" sqref="B7:B10 B14:B16" xr:uid="{00000000-0002-0000-0200-00000C000000}">
      <formula1>"linear-elastic, sand-HS, sand-HSS, sand-SSC, clay-HS, clay-HSS, clay-SSC, silt-HS, silt-HSS, silt-SSC"</formula1>
    </dataValidation>
    <dataValidation type="list" allowBlank="1" showInputMessage="1" showErrorMessage="1" sqref="AD7:AD15" xr:uid="{00000000-0002-0000-0200-00000D000000}">
      <formula1>"automatic, by_grain_s, manual"</formula1>
    </dataValidation>
    <dataValidation type="list" allowBlank="1" showInputMessage="1" showErrorMessage="1" sqref="H211:H230" xr:uid="{00000000-0002-0000-0200-00000E000000}">
      <formula1>"geogrid, geotextile, other"</formula1>
    </dataValidation>
    <dataValidation type="list" allowBlank="1" showInputMessage="1" showErrorMessage="1" sqref="H43:H62" xr:uid="{00000000-0002-0000-0200-000010000000}">
      <formula1>"diaphragm_wall,concrete_slab,sheet_pile,custom_wall,lining,dummy,columns_equivalent,beams_equivalent,other"</formula1>
    </dataValidation>
    <dataValidation type="list" allowBlank="1" showInputMessage="1" showErrorMessage="1" sqref="B11:B13" xr:uid="{00000000-0002-0000-0200-000011000000}">
      <formula1>"sand-HS, sand-HSS, sand-SSC, clay-HS, clay-HSS, clay-SSC, silt-HS, silt-HSS, silt-SSC"</formula1>
    </dataValidation>
    <dataValidation type="list" allowBlank="1" showInputMessage="1" showErrorMessage="1" sqref="K3" xr:uid="{00000000-0002-0000-0200-000012000000}">
      <formula1>"included, excluded"</formula1>
    </dataValidation>
    <dataValidation type="list" allowBlank="1" showInputMessage="1" showErrorMessage="1" sqref="H309 H310 H311 H312 H313 H314 H315 H316 H317 H318 H319 H320 H321 H322 H323 H324 H325 H326 H327 H328 H329 H330" xr:uid="{99B05AA5-E3F6-44D6-848B-D97C31FE1335}">
      <formula1>_xlfn._LONGTEXT("none,str_volume,str_vol_posinterface,str_vol_neginterface,str_vol_bothinterface,str_vol_neg_EXboth,str_vol_neg_EXtop,str_vol_neg_EXbot,str_vol_neg_EXleft,str_vol_neg_EXright,str_vol_pos_EXboth,str_vol_pos_EXtop,str_vol_pos_EXbot,str_vol_pos_EXleft,str_vol","_pos_EX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075" r:id="rId3" name="Button 3">
              <controlPr defaultSize="0" print="0" autoFill="0" autoPict="0" macro="[0]!Run_sc4">
                <anchor moveWithCells="1" sizeWithCells="1">
                  <from>
                    <xdr:col>1</xdr:col>
                    <xdr:colOff>47625</xdr:colOff>
                    <xdr:row>0</xdr:row>
                    <xdr:rowOff>66675</xdr:rowOff>
                  </from>
                  <to>
                    <xdr:col>1</xdr:col>
                    <xdr:colOff>1857375</xdr:colOff>
                    <xdr:row>2</xdr:row>
                    <xdr:rowOff>66675</xdr:rowOff>
                  </to>
                </anchor>
              </controlPr>
            </control>
          </mc:Choice>
        </mc:AlternateContent>
        <mc:AlternateContent xmlns:mc="http://schemas.openxmlformats.org/markup-compatibility/2006">
          <mc:Choice Requires="x14">
            <control shapeId="131076" r:id="rId4" name="Button 4">
              <controlPr defaultSize="0" print="0" autoFill="0" autoPict="0" macro="[0]!Run_sc5">
                <anchor moveWithCells="1" sizeWithCells="1">
                  <from>
                    <xdr:col>3</xdr:col>
                    <xdr:colOff>47625</xdr:colOff>
                    <xdr:row>0</xdr:row>
                    <xdr:rowOff>104775</xdr:rowOff>
                  </from>
                  <to>
                    <xdr:col>5</xdr:col>
                    <xdr:colOff>200025</xdr:colOff>
                    <xdr:row>2</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H260"/>
  <sheetViews>
    <sheetView workbookViewId="0">
      <selection activeCell="G30" sqref="G30"/>
    </sheetView>
  </sheetViews>
  <sheetFormatPr defaultRowHeight="15.75" x14ac:dyDescent="0.25"/>
  <sheetData>
    <row r="1" spans="1:4" x14ac:dyDescent="0.25">
      <c r="A1" t="s">
        <v>315</v>
      </c>
      <c r="B1" t="s">
        <v>601</v>
      </c>
    </row>
    <row r="2" spans="1:4" x14ac:dyDescent="0.25">
      <c r="A2" t="s">
        <v>316</v>
      </c>
      <c r="B2" t="s">
        <v>602</v>
      </c>
    </row>
    <row r="3" spans="1:4" x14ac:dyDescent="0.25">
      <c r="A3" t="s">
        <v>317</v>
      </c>
      <c r="B3" s="75">
        <v>46280.249328703707</v>
      </c>
    </row>
    <row r="5" spans="1:4" x14ac:dyDescent="0.25">
      <c r="A5" t="s">
        <v>318</v>
      </c>
    </row>
    <row r="6" spans="1:4" x14ac:dyDescent="0.25">
      <c r="A6" t="s">
        <v>319</v>
      </c>
      <c r="B6" t="s">
        <v>320</v>
      </c>
      <c r="C6" t="s">
        <v>321</v>
      </c>
      <c r="D6" t="s">
        <v>322</v>
      </c>
    </row>
    <row r="7" spans="1:4" x14ac:dyDescent="0.25">
      <c r="A7">
        <v>12</v>
      </c>
      <c r="B7" t="s">
        <v>323</v>
      </c>
      <c r="C7" t="s">
        <v>324</v>
      </c>
      <c r="D7" t="b">
        <v>0</v>
      </c>
    </row>
    <row r="8" spans="1:4" x14ac:dyDescent="0.25">
      <c r="A8">
        <v>13</v>
      </c>
      <c r="B8" t="s">
        <v>325</v>
      </c>
      <c r="C8" t="s">
        <v>326</v>
      </c>
      <c r="D8" t="b">
        <v>0</v>
      </c>
    </row>
    <row r="9" spans="1:4" x14ac:dyDescent="0.25">
      <c r="A9">
        <v>14</v>
      </c>
      <c r="B9" t="s">
        <v>327</v>
      </c>
      <c r="C9" t="s">
        <v>326</v>
      </c>
      <c r="D9" t="b">
        <v>0</v>
      </c>
    </row>
    <row r="10" spans="1:4" x14ac:dyDescent="0.25">
      <c r="A10">
        <v>15</v>
      </c>
      <c r="B10" t="s">
        <v>328</v>
      </c>
      <c r="C10" t="s">
        <v>326</v>
      </c>
      <c r="D10" t="b">
        <v>0</v>
      </c>
    </row>
    <row r="11" spans="1:4" x14ac:dyDescent="0.25">
      <c r="A11">
        <v>16</v>
      </c>
      <c r="B11" t="s">
        <v>329</v>
      </c>
      <c r="C11" t="s">
        <v>330</v>
      </c>
      <c r="D11" t="b">
        <v>0</v>
      </c>
    </row>
    <row r="12" spans="1:4" x14ac:dyDescent="0.25">
      <c r="A12">
        <v>17</v>
      </c>
      <c r="B12" t="s">
        <v>331</v>
      </c>
      <c r="C12" t="s">
        <v>326</v>
      </c>
      <c r="D12" t="b">
        <v>0</v>
      </c>
    </row>
    <row r="13" spans="1:4" x14ac:dyDescent="0.25">
      <c r="A13">
        <v>18</v>
      </c>
      <c r="B13" t="s">
        <v>332</v>
      </c>
      <c r="C13" t="s">
        <v>330</v>
      </c>
      <c r="D13" t="b">
        <v>0</v>
      </c>
    </row>
    <row r="14" spans="1:4" x14ac:dyDescent="0.25">
      <c r="A14">
        <v>19</v>
      </c>
      <c r="B14" t="s">
        <v>333</v>
      </c>
      <c r="C14" t="s">
        <v>326</v>
      </c>
      <c r="D14" t="b">
        <v>0</v>
      </c>
    </row>
    <row r="15" spans="1:4" x14ac:dyDescent="0.25">
      <c r="A15">
        <v>20</v>
      </c>
      <c r="B15" t="s">
        <v>334</v>
      </c>
      <c r="C15" t="s">
        <v>330</v>
      </c>
      <c r="D15" t="b">
        <v>0</v>
      </c>
    </row>
    <row r="16" spans="1:4" x14ac:dyDescent="0.25">
      <c r="A16">
        <v>21</v>
      </c>
      <c r="B16" t="s">
        <v>335</v>
      </c>
      <c r="C16" t="s">
        <v>326</v>
      </c>
      <c r="D16" t="b">
        <v>0</v>
      </c>
    </row>
    <row r="17" spans="1:4" x14ac:dyDescent="0.25">
      <c r="A17">
        <v>22</v>
      </c>
      <c r="B17" t="s">
        <v>336</v>
      </c>
      <c r="C17" t="s">
        <v>326</v>
      </c>
      <c r="D17" t="b">
        <v>0</v>
      </c>
    </row>
    <row r="18" spans="1:4" x14ac:dyDescent="0.25">
      <c r="A18">
        <v>23</v>
      </c>
      <c r="B18" t="s">
        <v>337</v>
      </c>
      <c r="C18" t="s">
        <v>330</v>
      </c>
      <c r="D18" t="b">
        <v>0</v>
      </c>
    </row>
    <row r="19" spans="1:4" x14ac:dyDescent="0.25">
      <c r="A19">
        <v>24</v>
      </c>
      <c r="B19" t="s">
        <v>338</v>
      </c>
      <c r="C19" t="s">
        <v>326</v>
      </c>
      <c r="D19" t="b">
        <v>0</v>
      </c>
    </row>
    <row r="20" spans="1:4" x14ac:dyDescent="0.25">
      <c r="A20">
        <v>25</v>
      </c>
      <c r="B20" t="s">
        <v>339</v>
      </c>
      <c r="C20" t="s">
        <v>330</v>
      </c>
      <c r="D20" t="b">
        <v>0</v>
      </c>
    </row>
    <row r="21" spans="1:4" x14ac:dyDescent="0.25">
      <c r="A21">
        <v>26</v>
      </c>
      <c r="B21" t="s">
        <v>340</v>
      </c>
      <c r="C21" t="s">
        <v>326</v>
      </c>
      <c r="D21" t="b">
        <v>0</v>
      </c>
    </row>
    <row r="22" spans="1:4" x14ac:dyDescent="0.25">
      <c r="A22">
        <v>27</v>
      </c>
      <c r="B22" t="s">
        <v>341</v>
      </c>
      <c r="C22" t="s">
        <v>330</v>
      </c>
      <c r="D22" t="b">
        <v>0</v>
      </c>
    </row>
    <row r="23" spans="1:4" x14ac:dyDescent="0.25">
      <c r="A23">
        <v>28</v>
      </c>
      <c r="B23" t="s">
        <v>342</v>
      </c>
      <c r="C23" t="s">
        <v>326</v>
      </c>
      <c r="D23" t="b">
        <v>0</v>
      </c>
    </row>
    <row r="24" spans="1:4" x14ac:dyDescent="0.25">
      <c r="A24">
        <v>29</v>
      </c>
      <c r="B24" t="s">
        <v>343</v>
      </c>
      <c r="C24" t="s">
        <v>330</v>
      </c>
      <c r="D24" t="b">
        <v>0</v>
      </c>
    </row>
    <row r="25" spans="1:4" x14ac:dyDescent="0.25">
      <c r="A25">
        <v>30</v>
      </c>
      <c r="B25" t="s">
        <v>344</v>
      </c>
      <c r="C25" t="s">
        <v>326</v>
      </c>
      <c r="D25" t="b">
        <v>0</v>
      </c>
    </row>
    <row r="26" spans="1:4" x14ac:dyDescent="0.25">
      <c r="A26">
        <v>31</v>
      </c>
      <c r="B26" t="s">
        <v>345</v>
      </c>
      <c r="C26" t="s">
        <v>330</v>
      </c>
      <c r="D26" t="b">
        <v>0</v>
      </c>
    </row>
    <row r="27" spans="1:4" x14ac:dyDescent="0.25">
      <c r="A27">
        <v>32</v>
      </c>
      <c r="B27" t="s">
        <v>346</v>
      </c>
      <c r="C27" t="s">
        <v>326</v>
      </c>
      <c r="D27" t="b">
        <v>0</v>
      </c>
    </row>
    <row r="28" spans="1:4" x14ac:dyDescent="0.25">
      <c r="A28">
        <v>33</v>
      </c>
      <c r="B28" t="s">
        <v>347</v>
      </c>
      <c r="C28" t="s">
        <v>330</v>
      </c>
      <c r="D28" t="b">
        <v>0</v>
      </c>
    </row>
    <row r="29" spans="1:4" x14ac:dyDescent="0.25">
      <c r="A29">
        <v>34</v>
      </c>
      <c r="B29" t="s">
        <v>348</v>
      </c>
      <c r="C29" t="s">
        <v>326</v>
      </c>
      <c r="D29" t="b">
        <v>0</v>
      </c>
    </row>
    <row r="30" spans="1:4" x14ac:dyDescent="0.25">
      <c r="A30">
        <v>35</v>
      </c>
      <c r="B30" t="s">
        <v>349</v>
      </c>
      <c r="C30" t="s">
        <v>330</v>
      </c>
      <c r="D30" t="b">
        <v>0</v>
      </c>
    </row>
    <row r="31" spans="1:4" x14ac:dyDescent="0.25">
      <c r="A31">
        <v>36</v>
      </c>
      <c r="B31" t="s">
        <v>350</v>
      </c>
      <c r="C31" t="s">
        <v>326</v>
      </c>
      <c r="D31" t="b">
        <v>0</v>
      </c>
    </row>
    <row r="32" spans="1:4" x14ac:dyDescent="0.25">
      <c r="A32">
        <v>37</v>
      </c>
      <c r="B32" t="s">
        <v>351</v>
      </c>
      <c r="C32" t="s">
        <v>330</v>
      </c>
      <c r="D32" t="b">
        <v>0</v>
      </c>
    </row>
    <row r="33" spans="1:8" x14ac:dyDescent="0.25">
      <c r="A33">
        <v>38</v>
      </c>
      <c r="B33" t="s">
        <v>352</v>
      </c>
      <c r="C33" t="s">
        <v>326</v>
      </c>
      <c r="D33" t="b">
        <v>0</v>
      </c>
    </row>
    <row r="34" spans="1:8" x14ac:dyDescent="0.25">
      <c r="A34">
        <v>39</v>
      </c>
      <c r="B34" t="s">
        <v>353</v>
      </c>
      <c r="C34" t="s">
        <v>326</v>
      </c>
      <c r="D34" t="b">
        <v>0</v>
      </c>
    </row>
    <row r="36" spans="1:8" x14ac:dyDescent="0.25">
      <c r="A36" t="s">
        <v>354</v>
      </c>
    </row>
    <row r="37" spans="1:8" x14ac:dyDescent="0.25">
      <c r="A37" t="s">
        <v>69</v>
      </c>
      <c r="B37" t="s">
        <v>319</v>
      </c>
      <c r="C37" t="s">
        <v>355</v>
      </c>
      <c r="D37" t="s">
        <v>356</v>
      </c>
      <c r="E37" t="s">
        <v>357</v>
      </c>
      <c r="F37" t="s">
        <v>358</v>
      </c>
      <c r="G37" t="s">
        <v>359</v>
      </c>
      <c r="H37" t="s">
        <v>360</v>
      </c>
    </row>
    <row r="38" spans="1:8" x14ac:dyDescent="0.25">
      <c r="A38">
        <v>7</v>
      </c>
      <c r="B38">
        <v>34</v>
      </c>
      <c r="C38" t="s">
        <v>362</v>
      </c>
      <c r="D38">
        <v>1</v>
      </c>
      <c r="E38" t="s">
        <v>15</v>
      </c>
      <c r="F38" t="s">
        <v>361</v>
      </c>
      <c r="H38" t="b">
        <v>0</v>
      </c>
    </row>
    <row r="39" spans="1:8" x14ac:dyDescent="0.25">
      <c r="A39">
        <v>8</v>
      </c>
      <c r="B39">
        <v>24</v>
      </c>
      <c r="C39" t="s">
        <v>363</v>
      </c>
      <c r="D39">
        <v>2</v>
      </c>
      <c r="E39" t="s">
        <v>15</v>
      </c>
      <c r="F39" t="s">
        <v>361</v>
      </c>
      <c r="H39" t="b">
        <v>0</v>
      </c>
    </row>
    <row r="40" spans="1:8" x14ac:dyDescent="0.25">
      <c r="A40">
        <v>8</v>
      </c>
      <c r="B40">
        <v>26</v>
      </c>
      <c r="C40" t="s">
        <v>363</v>
      </c>
      <c r="D40">
        <v>2</v>
      </c>
      <c r="E40" t="s">
        <v>364</v>
      </c>
      <c r="F40" t="s">
        <v>365</v>
      </c>
      <c r="H40" t="b">
        <v>0</v>
      </c>
    </row>
    <row r="41" spans="1:8" x14ac:dyDescent="0.25">
      <c r="A41">
        <v>9</v>
      </c>
      <c r="B41">
        <v>32</v>
      </c>
      <c r="C41" t="s">
        <v>366</v>
      </c>
      <c r="D41">
        <v>3</v>
      </c>
      <c r="E41" t="s">
        <v>15</v>
      </c>
      <c r="F41" t="s">
        <v>361</v>
      </c>
      <c r="H41" t="b">
        <v>0</v>
      </c>
    </row>
    <row r="42" spans="1:8" x14ac:dyDescent="0.25">
      <c r="A42">
        <v>10</v>
      </c>
      <c r="B42">
        <v>38</v>
      </c>
      <c r="C42" t="s">
        <v>367</v>
      </c>
      <c r="D42">
        <v>4</v>
      </c>
      <c r="E42" t="s">
        <v>15</v>
      </c>
      <c r="F42" t="s">
        <v>361</v>
      </c>
      <c r="H42" t="b">
        <v>0</v>
      </c>
    </row>
    <row r="43" spans="1:8" x14ac:dyDescent="0.25">
      <c r="A43">
        <v>11</v>
      </c>
      <c r="B43">
        <v>30</v>
      </c>
      <c r="C43" t="s">
        <v>368</v>
      </c>
      <c r="D43">
        <v>5</v>
      </c>
      <c r="E43" t="s">
        <v>15</v>
      </c>
      <c r="F43" t="s">
        <v>361</v>
      </c>
      <c r="H43" t="b">
        <v>0</v>
      </c>
    </row>
    <row r="44" spans="1:8" x14ac:dyDescent="0.25">
      <c r="A44">
        <v>12</v>
      </c>
      <c r="B44">
        <v>22</v>
      </c>
      <c r="C44" t="s">
        <v>369</v>
      </c>
      <c r="D44">
        <v>6</v>
      </c>
      <c r="E44" t="s">
        <v>15</v>
      </c>
      <c r="F44" t="s">
        <v>361</v>
      </c>
      <c r="H44" t="b">
        <v>0</v>
      </c>
    </row>
    <row r="45" spans="1:8" x14ac:dyDescent="0.25">
      <c r="A45">
        <v>12</v>
      </c>
      <c r="B45">
        <v>26</v>
      </c>
      <c r="C45" t="s">
        <v>369</v>
      </c>
      <c r="D45">
        <v>6</v>
      </c>
      <c r="E45" t="s">
        <v>364</v>
      </c>
      <c r="F45" t="s">
        <v>365</v>
      </c>
      <c r="H45" t="b">
        <v>0</v>
      </c>
    </row>
    <row r="46" spans="1:8" x14ac:dyDescent="0.25">
      <c r="A46">
        <v>13</v>
      </c>
      <c r="B46">
        <v>28</v>
      </c>
      <c r="C46" t="s">
        <v>370</v>
      </c>
      <c r="D46">
        <v>7</v>
      </c>
      <c r="E46" t="s">
        <v>15</v>
      </c>
      <c r="F46" t="s">
        <v>361</v>
      </c>
      <c r="H46" t="b">
        <v>0</v>
      </c>
    </row>
    <row r="47" spans="1:8" x14ac:dyDescent="0.25">
      <c r="A47">
        <v>14</v>
      </c>
      <c r="B47">
        <v>19</v>
      </c>
      <c r="C47" t="s">
        <v>371</v>
      </c>
      <c r="D47">
        <v>8</v>
      </c>
      <c r="E47" t="s">
        <v>15</v>
      </c>
      <c r="F47" t="s">
        <v>361</v>
      </c>
      <c r="H47" t="b">
        <v>0</v>
      </c>
    </row>
    <row r="48" spans="1:8" x14ac:dyDescent="0.25">
      <c r="A48">
        <v>15</v>
      </c>
      <c r="B48">
        <v>19</v>
      </c>
      <c r="C48" t="s">
        <v>372</v>
      </c>
      <c r="D48">
        <v>9</v>
      </c>
      <c r="E48" t="s">
        <v>15</v>
      </c>
      <c r="F48" t="s">
        <v>361</v>
      </c>
      <c r="H48" t="b">
        <v>0</v>
      </c>
    </row>
    <row r="49" spans="1:8" x14ac:dyDescent="0.25">
      <c r="A49">
        <v>15</v>
      </c>
      <c r="B49">
        <v>36</v>
      </c>
      <c r="C49" t="s">
        <v>372</v>
      </c>
      <c r="D49">
        <v>9</v>
      </c>
      <c r="E49" t="s">
        <v>364</v>
      </c>
      <c r="F49" t="s">
        <v>365</v>
      </c>
      <c r="H49" t="b">
        <v>0</v>
      </c>
    </row>
    <row r="50" spans="1:8" x14ac:dyDescent="0.25">
      <c r="A50">
        <v>16</v>
      </c>
      <c r="B50">
        <v>17</v>
      </c>
      <c r="C50" t="s">
        <v>373</v>
      </c>
      <c r="D50">
        <v>10</v>
      </c>
      <c r="E50" t="s">
        <v>15</v>
      </c>
      <c r="F50" t="s">
        <v>361</v>
      </c>
      <c r="H50" t="b">
        <v>0</v>
      </c>
    </row>
    <row r="51" spans="1:8" x14ac:dyDescent="0.25">
      <c r="A51">
        <v>17</v>
      </c>
      <c r="B51">
        <v>17</v>
      </c>
      <c r="C51" t="s">
        <v>374</v>
      </c>
      <c r="D51">
        <v>11</v>
      </c>
      <c r="E51" t="s">
        <v>15</v>
      </c>
      <c r="F51" t="s">
        <v>361</v>
      </c>
      <c r="H51" t="b">
        <v>0</v>
      </c>
    </row>
    <row r="52" spans="1:8" x14ac:dyDescent="0.25">
      <c r="A52">
        <v>17</v>
      </c>
      <c r="B52">
        <v>36</v>
      </c>
      <c r="C52" t="s">
        <v>374</v>
      </c>
      <c r="D52">
        <v>11</v>
      </c>
      <c r="E52" t="s">
        <v>364</v>
      </c>
      <c r="F52" t="s">
        <v>365</v>
      </c>
      <c r="H52" t="b">
        <v>0</v>
      </c>
    </row>
    <row r="53" spans="1:8" x14ac:dyDescent="0.25">
      <c r="A53">
        <v>18</v>
      </c>
      <c r="B53">
        <v>15</v>
      </c>
      <c r="C53" t="s">
        <v>375</v>
      </c>
      <c r="D53">
        <v>12</v>
      </c>
      <c r="E53" t="s">
        <v>15</v>
      </c>
      <c r="F53" t="s">
        <v>361</v>
      </c>
      <c r="H53" t="b">
        <v>0</v>
      </c>
    </row>
    <row r="54" spans="1:8" x14ac:dyDescent="0.25">
      <c r="A54">
        <v>18</v>
      </c>
      <c r="B54">
        <v>36</v>
      </c>
      <c r="C54" t="s">
        <v>375</v>
      </c>
      <c r="D54">
        <v>12</v>
      </c>
      <c r="E54" t="s">
        <v>364</v>
      </c>
      <c r="F54" t="s">
        <v>365</v>
      </c>
      <c r="H54" t="b">
        <v>0</v>
      </c>
    </row>
    <row r="55" spans="1:8" x14ac:dyDescent="0.25">
      <c r="A55">
        <v>19</v>
      </c>
      <c r="B55">
        <v>15</v>
      </c>
      <c r="C55" t="s">
        <v>376</v>
      </c>
      <c r="D55">
        <v>13</v>
      </c>
      <c r="E55" t="s">
        <v>15</v>
      </c>
      <c r="F55" t="s">
        <v>361</v>
      </c>
      <c r="H55" t="b">
        <v>0</v>
      </c>
    </row>
    <row r="56" spans="1:8" x14ac:dyDescent="0.25">
      <c r="A56">
        <v>20</v>
      </c>
      <c r="B56">
        <v>21</v>
      </c>
      <c r="C56" t="s">
        <v>377</v>
      </c>
      <c r="D56">
        <v>14</v>
      </c>
      <c r="E56" t="s">
        <v>15</v>
      </c>
      <c r="F56" t="s">
        <v>361</v>
      </c>
      <c r="H56" t="b">
        <v>0</v>
      </c>
    </row>
    <row r="57" spans="1:8" x14ac:dyDescent="0.25">
      <c r="A57">
        <v>21</v>
      </c>
      <c r="B57">
        <v>13</v>
      </c>
      <c r="C57" t="s">
        <v>378</v>
      </c>
      <c r="D57">
        <v>15</v>
      </c>
      <c r="E57" t="s">
        <v>364</v>
      </c>
      <c r="F57" t="s">
        <v>365</v>
      </c>
      <c r="H57" t="b">
        <v>0</v>
      </c>
    </row>
    <row r="58" spans="1:8" x14ac:dyDescent="0.25">
      <c r="A58">
        <v>21</v>
      </c>
      <c r="B58">
        <v>14</v>
      </c>
      <c r="C58" t="s">
        <v>378</v>
      </c>
      <c r="D58">
        <v>15</v>
      </c>
      <c r="E58" t="s">
        <v>15</v>
      </c>
      <c r="F58" t="s">
        <v>361</v>
      </c>
      <c r="H58" t="b">
        <v>0</v>
      </c>
    </row>
    <row r="59" spans="1:8" x14ac:dyDescent="0.25">
      <c r="A59">
        <v>22</v>
      </c>
      <c r="B59">
        <v>21</v>
      </c>
      <c r="C59" t="s">
        <v>379</v>
      </c>
      <c r="D59">
        <v>16</v>
      </c>
      <c r="E59" t="s">
        <v>15</v>
      </c>
      <c r="F59" t="s">
        <v>361</v>
      </c>
      <c r="H59" t="b">
        <v>0</v>
      </c>
    </row>
    <row r="60" spans="1:8" x14ac:dyDescent="0.25">
      <c r="A60">
        <v>23</v>
      </c>
      <c r="B60">
        <v>21</v>
      </c>
      <c r="C60" t="s">
        <v>380</v>
      </c>
      <c r="D60">
        <v>17</v>
      </c>
      <c r="E60" t="s">
        <v>15</v>
      </c>
      <c r="F60" t="s">
        <v>361</v>
      </c>
      <c r="H60" t="b">
        <v>0</v>
      </c>
    </row>
    <row r="61" spans="1:8" x14ac:dyDescent="0.25">
      <c r="A61">
        <v>24</v>
      </c>
      <c r="B61">
        <v>39</v>
      </c>
      <c r="C61" t="s">
        <v>381</v>
      </c>
      <c r="D61">
        <v>18</v>
      </c>
      <c r="E61" t="s">
        <v>15</v>
      </c>
      <c r="F61" t="s">
        <v>361</v>
      </c>
      <c r="H61" t="b">
        <v>0</v>
      </c>
    </row>
    <row r="62" spans="1:8" x14ac:dyDescent="0.25">
      <c r="A62">
        <v>25</v>
      </c>
      <c r="B62">
        <v>38</v>
      </c>
      <c r="C62" t="s">
        <v>382</v>
      </c>
      <c r="D62">
        <v>19</v>
      </c>
      <c r="E62" t="s">
        <v>15</v>
      </c>
      <c r="F62" t="s">
        <v>361</v>
      </c>
      <c r="H62" t="b">
        <v>0</v>
      </c>
    </row>
    <row r="63" spans="1:8" x14ac:dyDescent="0.25">
      <c r="A63">
        <v>26</v>
      </c>
      <c r="B63">
        <v>21</v>
      </c>
      <c r="C63" t="s">
        <v>383</v>
      </c>
      <c r="D63">
        <v>1</v>
      </c>
      <c r="E63" t="s">
        <v>15</v>
      </c>
      <c r="F63" t="s">
        <v>361</v>
      </c>
      <c r="H63" t="b">
        <v>0</v>
      </c>
    </row>
    <row r="64" spans="1:8" x14ac:dyDescent="0.25">
      <c r="A64">
        <v>27</v>
      </c>
      <c r="B64">
        <v>21</v>
      </c>
      <c r="C64" t="s">
        <v>384</v>
      </c>
      <c r="D64">
        <v>2</v>
      </c>
      <c r="E64" t="s">
        <v>15</v>
      </c>
      <c r="F64" t="s">
        <v>361</v>
      </c>
      <c r="H64" t="b">
        <v>0</v>
      </c>
    </row>
    <row r="65" spans="1:8" x14ac:dyDescent="0.25">
      <c r="A65">
        <v>28</v>
      </c>
      <c r="B65">
        <v>21</v>
      </c>
      <c r="C65" t="s">
        <v>385</v>
      </c>
      <c r="D65">
        <v>3</v>
      </c>
      <c r="E65" t="s">
        <v>15</v>
      </c>
      <c r="F65" t="s">
        <v>361</v>
      </c>
      <c r="H65" t="b">
        <v>0</v>
      </c>
    </row>
    <row r="66" spans="1:8" x14ac:dyDescent="0.25">
      <c r="A66">
        <v>29</v>
      </c>
      <c r="B66">
        <v>21</v>
      </c>
      <c r="C66" t="s">
        <v>386</v>
      </c>
      <c r="D66">
        <v>4</v>
      </c>
      <c r="E66" t="s">
        <v>15</v>
      </c>
      <c r="F66" t="s">
        <v>361</v>
      </c>
      <c r="H66" t="b">
        <v>0</v>
      </c>
    </row>
    <row r="67" spans="1:8" x14ac:dyDescent="0.25">
      <c r="A67">
        <v>30</v>
      </c>
      <c r="B67">
        <v>21</v>
      </c>
      <c r="C67" t="s">
        <v>387</v>
      </c>
      <c r="D67">
        <v>5</v>
      </c>
      <c r="E67" t="s">
        <v>15</v>
      </c>
      <c r="F67" t="s">
        <v>361</v>
      </c>
      <c r="H67" t="b">
        <v>0</v>
      </c>
    </row>
    <row r="68" spans="1:8" x14ac:dyDescent="0.25">
      <c r="A68">
        <v>31</v>
      </c>
      <c r="B68">
        <v>21</v>
      </c>
      <c r="C68" t="s">
        <v>388</v>
      </c>
      <c r="D68">
        <v>6</v>
      </c>
      <c r="E68" t="s">
        <v>15</v>
      </c>
      <c r="F68" t="s">
        <v>361</v>
      </c>
      <c r="H68" t="b">
        <v>0</v>
      </c>
    </row>
    <row r="69" spans="1:8" x14ac:dyDescent="0.25">
      <c r="A69">
        <v>32</v>
      </c>
      <c r="B69">
        <v>21</v>
      </c>
      <c r="C69" t="s">
        <v>389</v>
      </c>
      <c r="D69">
        <v>7</v>
      </c>
      <c r="E69" t="s">
        <v>15</v>
      </c>
      <c r="F69" t="s">
        <v>361</v>
      </c>
      <c r="H69" t="b">
        <v>0</v>
      </c>
    </row>
    <row r="70" spans="1:8" x14ac:dyDescent="0.25">
      <c r="A70">
        <v>33</v>
      </c>
      <c r="B70">
        <v>21</v>
      </c>
      <c r="C70" t="s">
        <v>390</v>
      </c>
      <c r="D70">
        <v>8</v>
      </c>
      <c r="E70" t="s">
        <v>15</v>
      </c>
      <c r="F70" t="s">
        <v>361</v>
      </c>
      <c r="H70" t="b">
        <v>0</v>
      </c>
    </row>
    <row r="71" spans="1:8" x14ac:dyDescent="0.25">
      <c r="A71">
        <v>34</v>
      </c>
      <c r="B71">
        <v>21</v>
      </c>
      <c r="C71" t="s">
        <v>391</v>
      </c>
      <c r="D71">
        <v>9</v>
      </c>
      <c r="E71" t="s">
        <v>15</v>
      </c>
      <c r="F71" t="s">
        <v>361</v>
      </c>
      <c r="H71" t="b">
        <v>0</v>
      </c>
    </row>
    <row r="72" spans="1:8" x14ac:dyDescent="0.25">
      <c r="A72">
        <v>35</v>
      </c>
      <c r="B72">
        <v>21</v>
      </c>
      <c r="C72" t="s">
        <v>392</v>
      </c>
      <c r="D72">
        <v>10</v>
      </c>
      <c r="E72" t="s">
        <v>15</v>
      </c>
      <c r="F72" t="s">
        <v>361</v>
      </c>
      <c r="H72" t="b">
        <v>0</v>
      </c>
    </row>
    <row r="73" spans="1:8" x14ac:dyDescent="0.25">
      <c r="A73">
        <v>36</v>
      </c>
      <c r="B73">
        <v>21</v>
      </c>
      <c r="C73" t="s">
        <v>393</v>
      </c>
      <c r="D73">
        <v>11</v>
      </c>
      <c r="E73" t="s">
        <v>15</v>
      </c>
      <c r="F73" t="s">
        <v>361</v>
      </c>
      <c r="H73" t="b">
        <v>0</v>
      </c>
    </row>
    <row r="74" spans="1:8" x14ac:dyDescent="0.25">
      <c r="A74">
        <v>37</v>
      </c>
      <c r="B74">
        <v>21</v>
      </c>
      <c r="C74" t="s">
        <v>394</v>
      </c>
      <c r="D74">
        <v>12</v>
      </c>
      <c r="E74" t="s">
        <v>15</v>
      </c>
      <c r="F74" t="s">
        <v>361</v>
      </c>
      <c r="H74" t="b">
        <v>0</v>
      </c>
    </row>
    <row r="75" spans="1:8" x14ac:dyDescent="0.25">
      <c r="A75">
        <v>38</v>
      </c>
      <c r="B75">
        <v>21</v>
      </c>
      <c r="C75" t="s">
        <v>395</v>
      </c>
      <c r="D75">
        <v>13</v>
      </c>
      <c r="E75" t="s">
        <v>15</v>
      </c>
      <c r="F75" t="s">
        <v>361</v>
      </c>
      <c r="H75" t="b">
        <v>0</v>
      </c>
    </row>
    <row r="76" spans="1:8" x14ac:dyDescent="0.25">
      <c r="A76">
        <v>39</v>
      </c>
      <c r="B76">
        <v>21</v>
      </c>
      <c r="C76" t="s">
        <v>396</v>
      </c>
      <c r="D76">
        <v>14</v>
      </c>
      <c r="E76" t="s">
        <v>15</v>
      </c>
      <c r="F76" t="s">
        <v>361</v>
      </c>
      <c r="H76" t="b">
        <v>0</v>
      </c>
    </row>
    <row r="77" spans="1:8" x14ac:dyDescent="0.25">
      <c r="A77">
        <v>40</v>
      </c>
      <c r="B77">
        <v>21</v>
      </c>
      <c r="C77" t="s">
        <v>397</v>
      </c>
      <c r="D77">
        <v>15</v>
      </c>
      <c r="E77" t="s">
        <v>15</v>
      </c>
      <c r="F77" t="s">
        <v>361</v>
      </c>
      <c r="H77" t="b">
        <v>0</v>
      </c>
    </row>
    <row r="78" spans="1:8" x14ac:dyDescent="0.25">
      <c r="A78">
        <v>41</v>
      </c>
      <c r="B78">
        <v>21</v>
      </c>
      <c r="C78" t="s">
        <v>398</v>
      </c>
      <c r="D78">
        <v>16</v>
      </c>
      <c r="E78" t="s">
        <v>15</v>
      </c>
      <c r="F78" t="s">
        <v>361</v>
      </c>
      <c r="H78" t="b">
        <v>0</v>
      </c>
    </row>
    <row r="79" spans="1:8" x14ac:dyDescent="0.25">
      <c r="A79">
        <v>42</v>
      </c>
      <c r="B79">
        <v>21</v>
      </c>
      <c r="C79" t="s">
        <v>399</v>
      </c>
      <c r="D79">
        <v>17</v>
      </c>
      <c r="E79" t="s">
        <v>15</v>
      </c>
      <c r="F79" t="s">
        <v>361</v>
      </c>
      <c r="H79" t="b">
        <v>0</v>
      </c>
    </row>
    <row r="80" spans="1:8" x14ac:dyDescent="0.25">
      <c r="A80">
        <v>43</v>
      </c>
      <c r="B80">
        <v>21</v>
      </c>
      <c r="C80" t="s">
        <v>400</v>
      </c>
      <c r="D80">
        <v>18</v>
      </c>
      <c r="E80" t="s">
        <v>15</v>
      </c>
      <c r="F80" t="s">
        <v>361</v>
      </c>
      <c r="H80" t="b">
        <v>0</v>
      </c>
    </row>
    <row r="81" spans="1:8" x14ac:dyDescent="0.25">
      <c r="A81">
        <v>44</v>
      </c>
      <c r="B81">
        <v>21</v>
      </c>
      <c r="C81" t="s">
        <v>401</v>
      </c>
      <c r="D81">
        <v>19</v>
      </c>
      <c r="E81" t="s">
        <v>15</v>
      </c>
      <c r="F81" t="s">
        <v>361</v>
      </c>
      <c r="H81" t="b">
        <v>0</v>
      </c>
    </row>
    <row r="82" spans="1:8" x14ac:dyDescent="0.25">
      <c r="A82">
        <v>45</v>
      </c>
      <c r="B82">
        <v>21</v>
      </c>
      <c r="C82" t="s">
        <v>402</v>
      </c>
      <c r="D82">
        <v>20</v>
      </c>
      <c r="E82" t="s">
        <v>15</v>
      </c>
      <c r="F82" t="s">
        <v>361</v>
      </c>
      <c r="H82" t="b">
        <v>0</v>
      </c>
    </row>
    <row r="83" spans="1:8" x14ac:dyDescent="0.25">
      <c r="A83">
        <v>46</v>
      </c>
      <c r="B83">
        <v>21</v>
      </c>
      <c r="C83" t="s">
        <v>403</v>
      </c>
      <c r="D83">
        <v>21</v>
      </c>
      <c r="E83" t="s">
        <v>15</v>
      </c>
      <c r="F83" t="s">
        <v>361</v>
      </c>
      <c r="H83" t="b">
        <v>0</v>
      </c>
    </row>
    <row r="84" spans="1:8" x14ac:dyDescent="0.25">
      <c r="A84">
        <v>47</v>
      </c>
      <c r="B84">
        <v>21</v>
      </c>
      <c r="C84" t="s">
        <v>404</v>
      </c>
      <c r="D84">
        <v>22</v>
      </c>
      <c r="E84" t="s">
        <v>15</v>
      </c>
      <c r="F84" t="s">
        <v>361</v>
      </c>
      <c r="H84" t="b">
        <v>0</v>
      </c>
    </row>
    <row r="85" spans="1:8" x14ac:dyDescent="0.25">
      <c r="A85">
        <v>48</v>
      </c>
      <c r="B85">
        <v>21</v>
      </c>
      <c r="C85" t="s">
        <v>405</v>
      </c>
      <c r="D85">
        <v>23</v>
      </c>
      <c r="E85" t="s">
        <v>15</v>
      </c>
      <c r="F85" t="s">
        <v>361</v>
      </c>
      <c r="H85" t="b">
        <v>0</v>
      </c>
    </row>
    <row r="86" spans="1:8" x14ac:dyDescent="0.25">
      <c r="A86">
        <v>49</v>
      </c>
      <c r="B86">
        <v>21</v>
      </c>
      <c r="C86" t="s">
        <v>406</v>
      </c>
      <c r="D86">
        <v>24</v>
      </c>
      <c r="E86" t="s">
        <v>15</v>
      </c>
      <c r="F86" t="s">
        <v>361</v>
      </c>
      <c r="H86" t="b">
        <v>0</v>
      </c>
    </row>
    <row r="87" spans="1:8" x14ac:dyDescent="0.25">
      <c r="A87">
        <v>50</v>
      </c>
      <c r="B87">
        <v>21</v>
      </c>
      <c r="C87" t="s">
        <v>407</v>
      </c>
      <c r="D87">
        <v>25</v>
      </c>
      <c r="E87" t="s">
        <v>15</v>
      </c>
      <c r="F87" t="s">
        <v>361</v>
      </c>
      <c r="H87" t="b">
        <v>0</v>
      </c>
    </row>
    <row r="88" spans="1:8" x14ac:dyDescent="0.25">
      <c r="A88">
        <v>51</v>
      </c>
      <c r="B88">
        <v>21</v>
      </c>
      <c r="C88" t="s">
        <v>408</v>
      </c>
      <c r="D88">
        <v>26</v>
      </c>
      <c r="E88" t="s">
        <v>15</v>
      </c>
      <c r="F88" t="s">
        <v>361</v>
      </c>
      <c r="H88" t="b">
        <v>0</v>
      </c>
    </row>
    <row r="89" spans="1:8" x14ac:dyDescent="0.25">
      <c r="A89">
        <v>52</v>
      </c>
      <c r="B89">
        <v>21</v>
      </c>
      <c r="C89" t="s">
        <v>409</v>
      </c>
      <c r="D89">
        <v>27</v>
      </c>
      <c r="E89" t="s">
        <v>15</v>
      </c>
      <c r="F89" t="s">
        <v>361</v>
      </c>
      <c r="H89" t="b">
        <v>0</v>
      </c>
    </row>
    <row r="90" spans="1:8" x14ac:dyDescent="0.25">
      <c r="A90">
        <v>53</v>
      </c>
      <c r="B90">
        <v>21</v>
      </c>
      <c r="C90" t="s">
        <v>410</v>
      </c>
      <c r="D90">
        <v>28</v>
      </c>
      <c r="E90" t="s">
        <v>15</v>
      </c>
      <c r="F90" t="s">
        <v>361</v>
      </c>
      <c r="H90" t="b">
        <v>0</v>
      </c>
    </row>
    <row r="91" spans="1:8" x14ac:dyDescent="0.25">
      <c r="A91">
        <v>54</v>
      </c>
      <c r="B91">
        <v>21</v>
      </c>
      <c r="C91" t="s">
        <v>411</v>
      </c>
      <c r="D91">
        <v>29</v>
      </c>
      <c r="E91" t="s">
        <v>15</v>
      </c>
      <c r="F91" t="s">
        <v>361</v>
      </c>
      <c r="H91" t="b">
        <v>0</v>
      </c>
    </row>
    <row r="92" spans="1:8" x14ac:dyDescent="0.25">
      <c r="A92">
        <v>55</v>
      </c>
      <c r="B92">
        <v>21</v>
      </c>
      <c r="C92" t="s">
        <v>412</v>
      </c>
      <c r="D92">
        <v>30</v>
      </c>
      <c r="E92" t="s">
        <v>15</v>
      </c>
      <c r="F92" t="s">
        <v>361</v>
      </c>
      <c r="H92" t="b">
        <v>0</v>
      </c>
    </row>
    <row r="93" spans="1:8" x14ac:dyDescent="0.25">
      <c r="A93">
        <v>56</v>
      </c>
      <c r="B93">
        <v>21</v>
      </c>
      <c r="C93" t="s">
        <v>413</v>
      </c>
      <c r="D93">
        <v>31</v>
      </c>
      <c r="E93" t="s">
        <v>15</v>
      </c>
      <c r="F93" t="s">
        <v>361</v>
      </c>
      <c r="H93" t="b">
        <v>0</v>
      </c>
    </row>
    <row r="94" spans="1:8" x14ac:dyDescent="0.25">
      <c r="A94">
        <v>57</v>
      </c>
      <c r="B94">
        <v>21</v>
      </c>
      <c r="C94" t="s">
        <v>414</v>
      </c>
      <c r="D94">
        <v>32</v>
      </c>
      <c r="E94" t="s">
        <v>15</v>
      </c>
      <c r="F94" t="s">
        <v>361</v>
      </c>
      <c r="H94" t="b">
        <v>0</v>
      </c>
    </row>
    <row r="95" spans="1:8" x14ac:dyDescent="0.25">
      <c r="A95">
        <v>58</v>
      </c>
      <c r="B95">
        <v>21</v>
      </c>
      <c r="C95" t="s">
        <v>415</v>
      </c>
      <c r="D95">
        <v>33</v>
      </c>
      <c r="E95" t="s">
        <v>15</v>
      </c>
      <c r="F95" t="s">
        <v>361</v>
      </c>
      <c r="H95" t="b">
        <v>0</v>
      </c>
    </row>
    <row r="96" spans="1:8" x14ac:dyDescent="0.25">
      <c r="A96">
        <v>59</v>
      </c>
      <c r="B96">
        <v>21</v>
      </c>
      <c r="C96" t="s">
        <v>416</v>
      </c>
      <c r="D96">
        <v>34</v>
      </c>
      <c r="E96" t="s">
        <v>15</v>
      </c>
      <c r="F96" t="s">
        <v>361</v>
      </c>
      <c r="H96" t="b">
        <v>0</v>
      </c>
    </row>
    <row r="97" spans="1:8" x14ac:dyDescent="0.25">
      <c r="A97">
        <v>60</v>
      </c>
      <c r="B97">
        <v>21</v>
      </c>
      <c r="C97" t="s">
        <v>417</v>
      </c>
      <c r="D97">
        <v>35</v>
      </c>
      <c r="E97" t="s">
        <v>15</v>
      </c>
      <c r="F97" t="s">
        <v>361</v>
      </c>
      <c r="H97" t="b">
        <v>0</v>
      </c>
    </row>
    <row r="98" spans="1:8" x14ac:dyDescent="0.25">
      <c r="A98">
        <v>61</v>
      </c>
      <c r="B98">
        <v>21</v>
      </c>
      <c r="C98" t="s">
        <v>418</v>
      </c>
      <c r="D98">
        <v>36</v>
      </c>
      <c r="E98" t="s">
        <v>15</v>
      </c>
      <c r="F98" t="s">
        <v>361</v>
      </c>
      <c r="H98" t="b">
        <v>0</v>
      </c>
    </row>
    <row r="99" spans="1:8" x14ac:dyDescent="0.25">
      <c r="A99">
        <v>62</v>
      </c>
      <c r="B99">
        <v>21</v>
      </c>
      <c r="C99" t="s">
        <v>419</v>
      </c>
      <c r="D99">
        <v>37</v>
      </c>
      <c r="E99" t="s">
        <v>15</v>
      </c>
      <c r="F99" t="s">
        <v>361</v>
      </c>
      <c r="H99" t="b">
        <v>0</v>
      </c>
    </row>
    <row r="100" spans="1:8" x14ac:dyDescent="0.25">
      <c r="A100">
        <v>63</v>
      </c>
      <c r="B100">
        <v>21</v>
      </c>
      <c r="C100" t="s">
        <v>420</v>
      </c>
      <c r="D100">
        <v>38</v>
      </c>
      <c r="E100" t="s">
        <v>15</v>
      </c>
      <c r="F100" t="s">
        <v>361</v>
      </c>
      <c r="H100" t="b">
        <v>0</v>
      </c>
    </row>
    <row r="101" spans="1:8" x14ac:dyDescent="0.25">
      <c r="A101">
        <v>64</v>
      </c>
      <c r="B101">
        <v>21</v>
      </c>
      <c r="C101" t="s">
        <v>421</v>
      </c>
      <c r="D101">
        <v>39</v>
      </c>
      <c r="E101" t="s">
        <v>15</v>
      </c>
      <c r="F101" t="s">
        <v>361</v>
      </c>
      <c r="H101" t="b">
        <v>0</v>
      </c>
    </row>
    <row r="102" spans="1:8" x14ac:dyDescent="0.25">
      <c r="A102">
        <v>65</v>
      </c>
      <c r="B102">
        <v>21</v>
      </c>
      <c r="C102" t="s">
        <v>422</v>
      </c>
      <c r="D102">
        <v>40</v>
      </c>
      <c r="E102" t="s">
        <v>15</v>
      </c>
      <c r="F102" t="s">
        <v>361</v>
      </c>
      <c r="H102" t="b">
        <v>0</v>
      </c>
    </row>
    <row r="103" spans="1:8" x14ac:dyDescent="0.25">
      <c r="A103">
        <v>66</v>
      </c>
      <c r="B103">
        <v>21</v>
      </c>
      <c r="C103" t="s">
        <v>423</v>
      </c>
      <c r="D103">
        <v>41</v>
      </c>
      <c r="E103" t="s">
        <v>15</v>
      </c>
      <c r="F103" t="s">
        <v>361</v>
      </c>
      <c r="H103" t="b">
        <v>0</v>
      </c>
    </row>
    <row r="104" spans="1:8" x14ac:dyDescent="0.25">
      <c r="A104">
        <v>67</v>
      </c>
      <c r="B104">
        <v>21</v>
      </c>
      <c r="C104" t="s">
        <v>424</v>
      </c>
      <c r="D104">
        <v>42</v>
      </c>
      <c r="E104" t="s">
        <v>15</v>
      </c>
      <c r="F104" t="s">
        <v>361</v>
      </c>
      <c r="H104" t="b">
        <v>0</v>
      </c>
    </row>
    <row r="105" spans="1:8" x14ac:dyDescent="0.25">
      <c r="A105">
        <v>68</v>
      </c>
      <c r="B105">
        <v>21</v>
      </c>
      <c r="C105" t="s">
        <v>425</v>
      </c>
      <c r="D105">
        <v>43</v>
      </c>
      <c r="E105" t="s">
        <v>15</v>
      </c>
      <c r="F105" t="s">
        <v>361</v>
      </c>
      <c r="H105" t="b">
        <v>0</v>
      </c>
    </row>
    <row r="106" spans="1:8" x14ac:dyDescent="0.25">
      <c r="A106">
        <v>69</v>
      </c>
      <c r="B106">
        <v>21</v>
      </c>
      <c r="C106" t="s">
        <v>426</v>
      </c>
      <c r="D106">
        <v>44</v>
      </c>
      <c r="E106" t="s">
        <v>15</v>
      </c>
      <c r="F106" t="s">
        <v>361</v>
      </c>
      <c r="H106" t="b">
        <v>0</v>
      </c>
    </row>
    <row r="107" spans="1:8" x14ac:dyDescent="0.25">
      <c r="A107">
        <v>70</v>
      </c>
      <c r="B107">
        <v>21</v>
      </c>
      <c r="C107" t="s">
        <v>427</v>
      </c>
      <c r="D107">
        <v>45</v>
      </c>
      <c r="E107" t="s">
        <v>15</v>
      </c>
      <c r="F107" t="s">
        <v>361</v>
      </c>
      <c r="H107" t="b">
        <v>0</v>
      </c>
    </row>
    <row r="108" spans="1:8" x14ac:dyDescent="0.25">
      <c r="A108">
        <v>71</v>
      </c>
      <c r="B108">
        <v>21</v>
      </c>
      <c r="C108" t="s">
        <v>428</v>
      </c>
      <c r="D108">
        <v>46</v>
      </c>
      <c r="E108" t="s">
        <v>15</v>
      </c>
      <c r="F108" t="s">
        <v>361</v>
      </c>
      <c r="H108" t="b">
        <v>0</v>
      </c>
    </row>
    <row r="109" spans="1:8" x14ac:dyDescent="0.25">
      <c r="A109">
        <v>72</v>
      </c>
      <c r="B109">
        <v>21</v>
      </c>
      <c r="C109" t="s">
        <v>429</v>
      </c>
      <c r="D109">
        <v>47</v>
      </c>
      <c r="E109" t="s">
        <v>15</v>
      </c>
      <c r="F109" t="s">
        <v>361</v>
      </c>
      <c r="H109" t="b">
        <v>0</v>
      </c>
    </row>
    <row r="110" spans="1:8" x14ac:dyDescent="0.25">
      <c r="A110">
        <v>73</v>
      </c>
      <c r="B110">
        <v>21</v>
      </c>
      <c r="C110" t="s">
        <v>430</v>
      </c>
      <c r="D110">
        <v>48</v>
      </c>
      <c r="E110" t="s">
        <v>15</v>
      </c>
      <c r="F110" t="s">
        <v>361</v>
      </c>
      <c r="H110" t="b">
        <v>0</v>
      </c>
    </row>
    <row r="111" spans="1:8" x14ac:dyDescent="0.25">
      <c r="A111">
        <v>74</v>
      </c>
      <c r="B111">
        <v>21</v>
      </c>
      <c r="C111" t="s">
        <v>431</v>
      </c>
      <c r="D111">
        <v>49</v>
      </c>
      <c r="E111" t="s">
        <v>15</v>
      </c>
      <c r="F111" t="s">
        <v>361</v>
      </c>
      <c r="H111" t="b">
        <v>0</v>
      </c>
    </row>
    <row r="112" spans="1:8" x14ac:dyDescent="0.25">
      <c r="A112">
        <v>75</v>
      </c>
      <c r="B112">
        <v>21</v>
      </c>
      <c r="C112" t="s">
        <v>432</v>
      </c>
      <c r="D112">
        <v>50</v>
      </c>
      <c r="E112" t="s">
        <v>15</v>
      </c>
      <c r="F112" t="s">
        <v>361</v>
      </c>
      <c r="H112" t="b">
        <v>0</v>
      </c>
    </row>
    <row r="113" spans="1:8" x14ac:dyDescent="0.25">
      <c r="A113">
        <v>76</v>
      </c>
      <c r="B113">
        <v>21</v>
      </c>
      <c r="C113" t="s">
        <v>433</v>
      </c>
      <c r="D113">
        <v>51</v>
      </c>
      <c r="E113" t="s">
        <v>15</v>
      </c>
      <c r="F113" t="s">
        <v>361</v>
      </c>
      <c r="H113" t="b">
        <v>0</v>
      </c>
    </row>
    <row r="114" spans="1:8" x14ac:dyDescent="0.25">
      <c r="A114">
        <v>77</v>
      </c>
      <c r="B114">
        <v>21</v>
      </c>
      <c r="C114" t="s">
        <v>434</v>
      </c>
      <c r="D114">
        <v>52</v>
      </c>
      <c r="E114" t="s">
        <v>15</v>
      </c>
      <c r="F114" t="s">
        <v>361</v>
      </c>
      <c r="H114" t="b">
        <v>0</v>
      </c>
    </row>
    <row r="115" spans="1:8" x14ac:dyDescent="0.25">
      <c r="A115">
        <v>78</v>
      </c>
      <c r="B115">
        <v>21</v>
      </c>
      <c r="C115" t="s">
        <v>435</v>
      </c>
      <c r="D115">
        <v>53</v>
      </c>
      <c r="E115" t="s">
        <v>15</v>
      </c>
      <c r="F115" t="s">
        <v>361</v>
      </c>
      <c r="H115" t="b">
        <v>0</v>
      </c>
    </row>
    <row r="116" spans="1:8" x14ac:dyDescent="0.25">
      <c r="A116">
        <v>79</v>
      </c>
      <c r="B116">
        <v>21</v>
      </c>
      <c r="C116" t="s">
        <v>436</v>
      </c>
      <c r="D116">
        <v>54</v>
      </c>
      <c r="E116" t="s">
        <v>15</v>
      </c>
      <c r="F116" t="s">
        <v>361</v>
      </c>
      <c r="H116" t="b">
        <v>0</v>
      </c>
    </row>
    <row r="117" spans="1:8" x14ac:dyDescent="0.25">
      <c r="A117">
        <v>80</v>
      </c>
      <c r="B117">
        <v>21</v>
      </c>
      <c r="C117" t="s">
        <v>437</v>
      </c>
      <c r="D117">
        <v>55</v>
      </c>
      <c r="E117" t="s">
        <v>15</v>
      </c>
      <c r="F117" t="s">
        <v>361</v>
      </c>
      <c r="H117" t="b">
        <v>0</v>
      </c>
    </row>
    <row r="118" spans="1:8" x14ac:dyDescent="0.25">
      <c r="A118">
        <v>81</v>
      </c>
      <c r="B118">
        <v>21</v>
      </c>
      <c r="C118" t="s">
        <v>438</v>
      </c>
      <c r="D118">
        <v>56</v>
      </c>
      <c r="E118" t="s">
        <v>15</v>
      </c>
      <c r="F118" t="s">
        <v>361</v>
      </c>
      <c r="H118" t="b">
        <v>0</v>
      </c>
    </row>
    <row r="119" spans="1:8" x14ac:dyDescent="0.25">
      <c r="A119">
        <v>82</v>
      </c>
      <c r="B119">
        <v>21</v>
      </c>
      <c r="C119" t="s">
        <v>439</v>
      </c>
      <c r="D119">
        <v>57</v>
      </c>
      <c r="E119" t="s">
        <v>15</v>
      </c>
      <c r="F119" t="s">
        <v>361</v>
      </c>
      <c r="H119" t="b">
        <v>0</v>
      </c>
    </row>
    <row r="120" spans="1:8" x14ac:dyDescent="0.25">
      <c r="A120">
        <v>83</v>
      </c>
      <c r="B120">
        <v>21</v>
      </c>
      <c r="C120" t="s">
        <v>440</v>
      </c>
      <c r="D120">
        <v>58</v>
      </c>
      <c r="E120" t="s">
        <v>15</v>
      </c>
      <c r="F120" t="s">
        <v>361</v>
      </c>
      <c r="H120" t="b">
        <v>0</v>
      </c>
    </row>
    <row r="121" spans="1:8" x14ac:dyDescent="0.25">
      <c r="A121">
        <v>84</v>
      </c>
      <c r="B121">
        <v>21</v>
      </c>
      <c r="C121" t="s">
        <v>441</v>
      </c>
      <c r="D121">
        <v>59</v>
      </c>
      <c r="E121" t="s">
        <v>15</v>
      </c>
      <c r="F121" t="s">
        <v>361</v>
      </c>
      <c r="H121" t="b">
        <v>0</v>
      </c>
    </row>
    <row r="122" spans="1:8" x14ac:dyDescent="0.25">
      <c r="A122">
        <v>85</v>
      </c>
      <c r="B122">
        <v>21</v>
      </c>
      <c r="C122" t="s">
        <v>442</v>
      </c>
      <c r="D122">
        <v>60</v>
      </c>
      <c r="E122" t="s">
        <v>15</v>
      </c>
      <c r="F122" t="s">
        <v>361</v>
      </c>
      <c r="H122" t="b">
        <v>0</v>
      </c>
    </row>
    <row r="123" spans="1:8" x14ac:dyDescent="0.25">
      <c r="A123">
        <v>86</v>
      </c>
      <c r="B123">
        <v>21</v>
      </c>
      <c r="C123" t="s">
        <v>443</v>
      </c>
      <c r="D123">
        <v>61</v>
      </c>
      <c r="E123" t="s">
        <v>15</v>
      </c>
      <c r="F123" t="s">
        <v>361</v>
      </c>
      <c r="H123" t="b">
        <v>0</v>
      </c>
    </row>
    <row r="124" spans="1:8" x14ac:dyDescent="0.25">
      <c r="A124">
        <v>87</v>
      </c>
      <c r="B124">
        <v>21</v>
      </c>
      <c r="C124" t="s">
        <v>444</v>
      </c>
      <c r="D124">
        <v>62</v>
      </c>
      <c r="E124" t="s">
        <v>15</v>
      </c>
      <c r="F124" t="s">
        <v>361</v>
      </c>
      <c r="H124" t="b">
        <v>0</v>
      </c>
    </row>
    <row r="125" spans="1:8" x14ac:dyDescent="0.25">
      <c r="A125">
        <v>88</v>
      </c>
      <c r="B125">
        <v>21</v>
      </c>
      <c r="C125" t="s">
        <v>445</v>
      </c>
      <c r="D125">
        <v>63</v>
      </c>
      <c r="E125" t="s">
        <v>15</v>
      </c>
      <c r="F125" t="s">
        <v>361</v>
      </c>
      <c r="H125" t="b">
        <v>0</v>
      </c>
    </row>
    <row r="126" spans="1:8" x14ac:dyDescent="0.25">
      <c r="A126">
        <v>89</v>
      </c>
      <c r="B126">
        <v>21</v>
      </c>
      <c r="C126" t="s">
        <v>446</v>
      </c>
      <c r="D126">
        <v>64</v>
      </c>
      <c r="E126" t="s">
        <v>15</v>
      </c>
      <c r="F126" t="s">
        <v>361</v>
      </c>
      <c r="H126" t="b">
        <v>0</v>
      </c>
    </row>
    <row r="127" spans="1:8" x14ac:dyDescent="0.25">
      <c r="A127">
        <v>90</v>
      </c>
      <c r="B127">
        <v>21</v>
      </c>
      <c r="C127" t="s">
        <v>447</v>
      </c>
      <c r="D127">
        <v>65</v>
      </c>
      <c r="E127" t="s">
        <v>15</v>
      </c>
      <c r="F127" t="s">
        <v>361</v>
      </c>
      <c r="H127" t="b">
        <v>0</v>
      </c>
    </row>
    <row r="128" spans="1:8" x14ac:dyDescent="0.25">
      <c r="A128">
        <v>91</v>
      </c>
      <c r="B128">
        <v>21</v>
      </c>
      <c r="C128" t="s">
        <v>448</v>
      </c>
      <c r="D128">
        <v>66</v>
      </c>
      <c r="E128" t="s">
        <v>15</v>
      </c>
      <c r="F128" t="s">
        <v>361</v>
      </c>
      <c r="H128" t="b">
        <v>0</v>
      </c>
    </row>
    <row r="129" spans="1:8" x14ac:dyDescent="0.25">
      <c r="A129">
        <v>92</v>
      </c>
      <c r="B129">
        <v>21</v>
      </c>
      <c r="C129" t="s">
        <v>449</v>
      </c>
      <c r="D129">
        <v>67</v>
      </c>
      <c r="E129" t="s">
        <v>15</v>
      </c>
      <c r="F129" t="s">
        <v>361</v>
      </c>
      <c r="H129" t="b">
        <v>0</v>
      </c>
    </row>
    <row r="130" spans="1:8" x14ac:dyDescent="0.25">
      <c r="A130">
        <v>93</v>
      </c>
      <c r="B130">
        <v>21</v>
      </c>
      <c r="C130" t="s">
        <v>450</v>
      </c>
      <c r="D130">
        <v>68</v>
      </c>
      <c r="E130" t="s">
        <v>15</v>
      </c>
      <c r="F130" t="s">
        <v>361</v>
      </c>
      <c r="H130" t="b">
        <v>0</v>
      </c>
    </row>
    <row r="131" spans="1:8" x14ac:dyDescent="0.25">
      <c r="A131">
        <v>94</v>
      </c>
      <c r="B131">
        <v>21</v>
      </c>
      <c r="C131" t="s">
        <v>451</v>
      </c>
      <c r="D131">
        <v>69</v>
      </c>
      <c r="E131" t="s">
        <v>15</v>
      </c>
      <c r="F131" t="s">
        <v>361</v>
      </c>
      <c r="H131" t="b">
        <v>0</v>
      </c>
    </row>
    <row r="132" spans="1:8" x14ac:dyDescent="0.25">
      <c r="A132">
        <v>95</v>
      </c>
      <c r="B132">
        <v>21</v>
      </c>
      <c r="C132" t="s">
        <v>452</v>
      </c>
      <c r="D132">
        <v>70</v>
      </c>
      <c r="E132" t="s">
        <v>15</v>
      </c>
      <c r="F132" t="s">
        <v>361</v>
      </c>
      <c r="H132" t="b">
        <v>0</v>
      </c>
    </row>
    <row r="133" spans="1:8" x14ac:dyDescent="0.25">
      <c r="A133">
        <v>96</v>
      </c>
      <c r="B133">
        <v>21</v>
      </c>
      <c r="C133" t="s">
        <v>453</v>
      </c>
      <c r="D133">
        <v>71</v>
      </c>
      <c r="E133" t="s">
        <v>15</v>
      </c>
      <c r="F133" t="s">
        <v>361</v>
      </c>
      <c r="H133" t="b">
        <v>0</v>
      </c>
    </row>
    <row r="134" spans="1:8" x14ac:dyDescent="0.25">
      <c r="A134">
        <v>97</v>
      </c>
      <c r="B134">
        <v>21</v>
      </c>
      <c r="C134" t="s">
        <v>454</v>
      </c>
      <c r="D134">
        <v>72</v>
      </c>
      <c r="E134" t="s">
        <v>15</v>
      </c>
      <c r="F134" t="s">
        <v>361</v>
      </c>
      <c r="H134" t="b">
        <v>0</v>
      </c>
    </row>
    <row r="135" spans="1:8" x14ac:dyDescent="0.25">
      <c r="A135">
        <v>98</v>
      </c>
      <c r="B135">
        <v>21</v>
      </c>
      <c r="C135" t="s">
        <v>455</v>
      </c>
      <c r="D135">
        <v>73</v>
      </c>
      <c r="E135" t="s">
        <v>15</v>
      </c>
      <c r="F135" t="s">
        <v>361</v>
      </c>
      <c r="H135" t="b">
        <v>0</v>
      </c>
    </row>
    <row r="136" spans="1:8" x14ac:dyDescent="0.25">
      <c r="A136">
        <v>99</v>
      </c>
      <c r="B136">
        <v>21</v>
      </c>
      <c r="C136" t="s">
        <v>456</v>
      </c>
      <c r="D136">
        <v>74</v>
      </c>
      <c r="E136" t="s">
        <v>15</v>
      </c>
      <c r="F136" t="s">
        <v>361</v>
      </c>
      <c r="H136" t="b">
        <v>0</v>
      </c>
    </row>
    <row r="137" spans="1:8" x14ac:dyDescent="0.25">
      <c r="A137">
        <v>100</v>
      </c>
      <c r="B137">
        <v>21</v>
      </c>
      <c r="C137" t="s">
        <v>457</v>
      </c>
      <c r="D137">
        <v>75</v>
      </c>
      <c r="E137" t="s">
        <v>15</v>
      </c>
      <c r="F137" t="s">
        <v>361</v>
      </c>
      <c r="H137" t="b">
        <v>0</v>
      </c>
    </row>
    <row r="138" spans="1:8" x14ac:dyDescent="0.25">
      <c r="A138">
        <v>101</v>
      </c>
      <c r="B138">
        <v>21</v>
      </c>
      <c r="C138" t="s">
        <v>458</v>
      </c>
      <c r="D138">
        <v>76</v>
      </c>
      <c r="E138" t="s">
        <v>15</v>
      </c>
      <c r="F138" t="s">
        <v>361</v>
      </c>
      <c r="H138" t="b">
        <v>0</v>
      </c>
    </row>
    <row r="139" spans="1:8" x14ac:dyDescent="0.25">
      <c r="A139">
        <v>102</v>
      </c>
      <c r="B139">
        <v>21</v>
      </c>
      <c r="C139" t="s">
        <v>459</v>
      </c>
      <c r="D139">
        <v>77</v>
      </c>
      <c r="E139" t="s">
        <v>15</v>
      </c>
      <c r="F139" t="s">
        <v>361</v>
      </c>
      <c r="H139" t="b">
        <v>0</v>
      </c>
    </row>
    <row r="140" spans="1:8" x14ac:dyDescent="0.25">
      <c r="A140">
        <v>103</v>
      </c>
      <c r="B140">
        <v>21</v>
      </c>
      <c r="C140" t="s">
        <v>460</v>
      </c>
      <c r="D140">
        <v>78</v>
      </c>
      <c r="E140" t="s">
        <v>15</v>
      </c>
      <c r="F140" t="s">
        <v>361</v>
      </c>
      <c r="H140" t="b">
        <v>0</v>
      </c>
    </row>
    <row r="141" spans="1:8" x14ac:dyDescent="0.25">
      <c r="A141">
        <v>104</v>
      </c>
      <c r="B141">
        <v>21</v>
      </c>
      <c r="C141" t="s">
        <v>461</v>
      </c>
      <c r="D141">
        <v>79</v>
      </c>
      <c r="E141" t="s">
        <v>15</v>
      </c>
      <c r="F141" t="s">
        <v>361</v>
      </c>
      <c r="H141" t="b">
        <v>0</v>
      </c>
    </row>
    <row r="142" spans="1:8" x14ac:dyDescent="0.25">
      <c r="A142">
        <v>105</v>
      </c>
      <c r="B142">
        <v>21</v>
      </c>
      <c r="C142" t="s">
        <v>462</v>
      </c>
      <c r="D142">
        <v>80</v>
      </c>
      <c r="E142" t="s">
        <v>15</v>
      </c>
      <c r="F142" t="s">
        <v>361</v>
      </c>
      <c r="H142" t="b">
        <v>0</v>
      </c>
    </row>
    <row r="143" spans="1:8" x14ac:dyDescent="0.25">
      <c r="A143">
        <v>107</v>
      </c>
      <c r="B143">
        <v>13</v>
      </c>
      <c r="C143" t="s">
        <v>463</v>
      </c>
      <c r="D143">
        <v>1</v>
      </c>
      <c r="E143" t="s">
        <v>15</v>
      </c>
      <c r="F143" t="s">
        <v>361</v>
      </c>
      <c r="H143" t="b">
        <v>0</v>
      </c>
    </row>
    <row r="144" spans="1:8" x14ac:dyDescent="0.25">
      <c r="A144">
        <v>108</v>
      </c>
      <c r="B144">
        <v>13</v>
      </c>
      <c r="C144" t="s">
        <v>464</v>
      </c>
      <c r="D144">
        <v>2</v>
      </c>
      <c r="E144" t="s">
        <v>15</v>
      </c>
      <c r="F144" t="s">
        <v>361</v>
      </c>
      <c r="H144" t="b">
        <v>0</v>
      </c>
    </row>
    <row r="146" spans="1:5" x14ac:dyDescent="0.25">
      <c r="A146" t="s">
        <v>465</v>
      </c>
    </row>
    <row r="147" spans="1:5" x14ac:dyDescent="0.25">
      <c r="A147" t="s">
        <v>466</v>
      </c>
      <c r="B147" t="s">
        <v>358</v>
      </c>
      <c r="C147" t="s">
        <v>355</v>
      </c>
      <c r="D147" t="s">
        <v>359</v>
      </c>
      <c r="E147" t="s">
        <v>467</v>
      </c>
    </row>
    <row r="148" spans="1:5" x14ac:dyDescent="0.25">
      <c r="A148" t="s">
        <v>348</v>
      </c>
      <c r="B148" t="s">
        <v>361</v>
      </c>
      <c r="C148" t="s">
        <v>362</v>
      </c>
      <c r="E148" t="s">
        <v>468</v>
      </c>
    </row>
    <row r="149" spans="1:5" x14ac:dyDescent="0.25">
      <c r="A149" t="s">
        <v>338</v>
      </c>
      <c r="B149" t="s">
        <v>361</v>
      </c>
      <c r="C149" t="s">
        <v>363</v>
      </c>
      <c r="E149" t="s">
        <v>468</v>
      </c>
    </row>
    <row r="150" spans="1:5" x14ac:dyDescent="0.25">
      <c r="A150" t="s">
        <v>340</v>
      </c>
      <c r="B150" t="s">
        <v>365</v>
      </c>
      <c r="C150" t="s">
        <v>363</v>
      </c>
      <c r="E150" t="s">
        <v>468</v>
      </c>
    </row>
    <row r="151" spans="1:5" x14ac:dyDescent="0.25">
      <c r="A151" t="s">
        <v>340</v>
      </c>
      <c r="B151" t="s">
        <v>365</v>
      </c>
      <c r="C151" t="s">
        <v>369</v>
      </c>
      <c r="E151" t="s">
        <v>468</v>
      </c>
    </row>
    <row r="152" spans="1:5" x14ac:dyDescent="0.25">
      <c r="A152" t="s">
        <v>346</v>
      </c>
      <c r="B152" t="s">
        <v>361</v>
      </c>
      <c r="C152" t="s">
        <v>366</v>
      </c>
      <c r="E152" t="s">
        <v>468</v>
      </c>
    </row>
    <row r="153" spans="1:5" x14ac:dyDescent="0.25">
      <c r="A153" t="s">
        <v>352</v>
      </c>
      <c r="B153" t="s">
        <v>361</v>
      </c>
      <c r="C153" t="s">
        <v>367</v>
      </c>
      <c r="E153" t="s">
        <v>275</v>
      </c>
    </row>
    <row r="154" spans="1:5" x14ac:dyDescent="0.25">
      <c r="A154" t="s">
        <v>352</v>
      </c>
      <c r="B154" t="s">
        <v>361</v>
      </c>
      <c r="C154" t="s">
        <v>382</v>
      </c>
      <c r="E154" t="s">
        <v>154</v>
      </c>
    </row>
    <row r="155" spans="1:5" x14ac:dyDescent="0.25">
      <c r="A155" t="s">
        <v>344</v>
      </c>
      <c r="B155" t="s">
        <v>361</v>
      </c>
      <c r="C155" t="s">
        <v>368</v>
      </c>
      <c r="E155" t="s">
        <v>468</v>
      </c>
    </row>
    <row r="156" spans="1:5" x14ac:dyDescent="0.25">
      <c r="A156" t="s">
        <v>336</v>
      </c>
      <c r="B156" t="s">
        <v>361</v>
      </c>
      <c r="C156" t="s">
        <v>369</v>
      </c>
      <c r="E156" t="s">
        <v>468</v>
      </c>
    </row>
    <row r="157" spans="1:5" x14ac:dyDescent="0.25">
      <c r="A157" t="s">
        <v>342</v>
      </c>
      <c r="B157" t="s">
        <v>361</v>
      </c>
      <c r="C157" t="s">
        <v>370</v>
      </c>
      <c r="E157" t="s">
        <v>468</v>
      </c>
    </row>
    <row r="158" spans="1:5" x14ac:dyDescent="0.25">
      <c r="A158" t="s">
        <v>333</v>
      </c>
      <c r="B158" t="s">
        <v>361</v>
      </c>
      <c r="C158" t="s">
        <v>371</v>
      </c>
      <c r="E158" t="s">
        <v>468</v>
      </c>
    </row>
    <row r="159" spans="1:5" x14ac:dyDescent="0.25">
      <c r="A159" t="s">
        <v>333</v>
      </c>
      <c r="B159" t="s">
        <v>361</v>
      </c>
      <c r="C159" t="s">
        <v>372</v>
      </c>
      <c r="E159" t="s">
        <v>468</v>
      </c>
    </row>
    <row r="160" spans="1:5" x14ac:dyDescent="0.25">
      <c r="A160" t="s">
        <v>350</v>
      </c>
      <c r="B160" t="s">
        <v>365</v>
      </c>
      <c r="C160" t="s">
        <v>372</v>
      </c>
      <c r="E160" t="s">
        <v>468</v>
      </c>
    </row>
    <row r="161" spans="1:5" x14ac:dyDescent="0.25">
      <c r="A161" t="s">
        <v>350</v>
      </c>
      <c r="B161" t="s">
        <v>365</v>
      </c>
      <c r="C161" t="s">
        <v>374</v>
      </c>
      <c r="E161" t="s">
        <v>468</v>
      </c>
    </row>
    <row r="162" spans="1:5" x14ac:dyDescent="0.25">
      <c r="A162" t="s">
        <v>350</v>
      </c>
      <c r="B162" t="s">
        <v>365</v>
      </c>
      <c r="C162" t="s">
        <v>375</v>
      </c>
      <c r="E162" t="s">
        <v>468</v>
      </c>
    </row>
    <row r="163" spans="1:5" x14ac:dyDescent="0.25">
      <c r="A163" t="s">
        <v>331</v>
      </c>
      <c r="B163" t="s">
        <v>361</v>
      </c>
      <c r="C163" t="s">
        <v>373</v>
      </c>
      <c r="E163" t="s">
        <v>468</v>
      </c>
    </row>
    <row r="164" spans="1:5" x14ac:dyDescent="0.25">
      <c r="A164" t="s">
        <v>331</v>
      </c>
      <c r="B164" t="s">
        <v>361</v>
      </c>
      <c r="C164" t="s">
        <v>374</v>
      </c>
      <c r="E164" t="s">
        <v>468</v>
      </c>
    </row>
    <row r="165" spans="1:5" x14ac:dyDescent="0.25">
      <c r="A165" t="s">
        <v>328</v>
      </c>
      <c r="B165" t="s">
        <v>361</v>
      </c>
      <c r="C165" t="s">
        <v>375</v>
      </c>
      <c r="E165" t="s">
        <v>468</v>
      </c>
    </row>
    <row r="166" spans="1:5" x14ac:dyDescent="0.25">
      <c r="A166" t="s">
        <v>328</v>
      </c>
      <c r="B166" t="s">
        <v>361</v>
      </c>
      <c r="C166" t="s">
        <v>376</v>
      </c>
      <c r="E166" t="s">
        <v>468</v>
      </c>
    </row>
    <row r="167" spans="1:5" x14ac:dyDescent="0.25">
      <c r="A167" t="s">
        <v>335</v>
      </c>
      <c r="B167" t="s">
        <v>361</v>
      </c>
      <c r="C167" t="s">
        <v>377</v>
      </c>
      <c r="E167" t="s">
        <v>275</v>
      </c>
    </row>
    <row r="168" spans="1:5" x14ac:dyDescent="0.25">
      <c r="A168" t="s">
        <v>335</v>
      </c>
      <c r="B168" t="s">
        <v>361</v>
      </c>
      <c r="C168" t="s">
        <v>379</v>
      </c>
      <c r="E168" t="s">
        <v>275</v>
      </c>
    </row>
    <row r="169" spans="1:5" x14ac:dyDescent="0.25">
      <c r="A169" t="s">
        <v>335</v>
      </c>
      <c r="B169" t="s">
        <v>361</v>
      </c>
      <c r="C169" t="s">
        <v>380</v>
      </c>
      <c r="E169" t="s">
        <v>275</v>
      </c>
    </row>
    <row r="170" spans="1:5" x14ac:dyDescent="0.25">
      <c r="A170" t="s">
        <v>335</v>
      </c>
      <c r="B170" t="s">
        <v>361</v>
      </c>
      <c r="C170" t="s">
        <v>383</v>
      </c>
      <c r="E170" t="s">
        <v>469</v>
      </c>
    </row>
    <row r="171" spans="1:5" x14ac:dyDescent="0.25">
      <c r="A171" t="s">
        <v>335</v>
      </c>
      <c r="B171" t="s">
        <v>361</v>
      </c>
      <c r="C171" t="s">
        <v>384</v>
      </c>
      <c r="E171" t="s">
        <v>469</v>
      </c>
    </row>
    <row r="172" spans="1:5" x14ac:dyDescent="0.25">
      <c r="A172" t="s">
        <v>335</v>
      </c>
      <c r="B172" t="s">
        <v>361</v>
      </c>
      <c r="C172" t="s">
        <v>385</v>
      </c>
      <c r="E172" t="s">
        <v>469</v>
      </c>
    </row>
    <row r="173" spans="1:5" x14ac:dyDescent="0.25">
      <c r="A173" t="s">
        <v>335</v>
      </c>
      <c r="B173" t="s">
        <v>361</v>
      </c>
      <c r="C173" t="s">
        <v>386</v>
      </c>
      <c r="E173" t="s">
        <v>469</v>
      </c>
    </row>
    <row r="174" spans="1:5" x14ac:dyDescent="0.25">
      <c r="A174" t="s">
        <v>335</v>
      </c>
      <c r="B174" t="s">
        <v>361</v>
      </c>
      <c r="C174" t="s">
        <v>387</v>
      </c>
      <c r="E174" t="s">
        <v>469</v>
      </c>
    </row>
    <row r="175" spans="1:5" x14ac:dyDescent="0.25">
      <c r="A175" t="s">
        <v>335</v>
      </c>
      <c r="B175" t="s">
        <v>361</v>
      </c>
      <c r="C175" t="s">
        <v>388</v>
      </c>
      <c r="E175" t="s">
        <v>469</v>
      </c>
    </row>
    <row r="176" spans="1:5" x14ac:dyDescent="0.25">
      <c r="A176" t="s">
        <v>335</v>
      </c>
      <c r="B176" t="s">
        <v>361</v>
      </c>
      <c r="C176" t="s">
        <v>389</v>
      </c>
      <c r="E176" t="s">
        <v>469</v>
      </c>
    </row>
    <row r="177" spans="1:5" x14ac:dyDescent="0.25">
      <c r="A177" t="s">
        <v>335</v>
      </c>
      <c r="B177" t="s">
        <v>361</v>
      </c>
      <c r="C177" t="s">
        <v>390</v>
      </c>
      <c r="E177" t="s">
        <v>469</v>
      </c>
    </row>
    <row r="178" spans="1:5" x14ac:dyDescent="0.25">
      <c r="A178" t="s">
        <v>335</v>
      </c>
      <c r="B178" t="s">
        <v>361</v>
      </c>
      <c r="C178" t="s">
        <v>391</v>
      </c>
      <c r="E178" t="s">
        <v>469</v>
      </c>
    </row>
    <row r="179" spans="1:5" x14ac:dyDescent="0.25">
      <c r="A179" t="s">
        <v>335</v>
      </c>
      <c r="B179" t="s">
        <v>361</v>
      </c>
      <c r="C179" t="s">
        <v>392</v>
      </c>
      <c r="E179" t="s">
        <v>469</v>
      </c>
    </row>
    <row r="180" spans="1:5" x14ac:dyDescent="0.25">
      <c r="A180" t="s">
        <v>335</v>
      </c>
      <c r="B180" t="s">
        <v>361</v>
      </c>
      <c r="C180" t="s">
        <v>393</v>
      </c>
      <c r="E180" t="s">
        <v>469</v>
      </c>
    </row>
    <row r="181" spans="1:5" x14ac:dyDescent="0.25">
      <c r="A181" t="s">
        <v>335</v>
      </c>
      <c r="B181" t="s">
        <v>361</v>
      </c>
      <c r="C181" t="s">
        <v>394</v>
      </c>
      <c r="E181" t="s">
        <v>469</v>
      </c>
    </row>
    <row r="182" spans="1:5" x14ac:dyDescent="0.25">
      <c r="A182" t="s">
        <v>335</v>
      </c>
      <c r="B182" t="s">
        <v>361</v>
      </c>
      <c r="C182" t="s">
        <v>395</v>
      </c>
      <c r="E182" t="s">
        <v>469</v>
      </c>
    </row>
    <row r="183" spans="1:5" x14ac:dyDescent="0.25">
      <c r="A183" t="s">
        <v>335</v>
      </c>
      <c r="B183" t="s">
        <v>361</v>
      </c>
      <c r="C183" t="s">
        <v>396</v>
      </c>
      <c r="E183" t="s">
        <v>469</v>
      </c>
    </row>
    <row r="184" spans="1:5" x14ac:dyDescent="0.25">
      <c r="A184" t="s">
        <v>335</v>
      </c>
      <c r="B184" t="s">
        <v>361</v>
      </c>
      <c r="C184" t="s">
        <v>397</v>
      </c>
      <c r="E184" t="s">
        <v>469</v>
      </c>
    </row>
    <row r="185" spans="1:5" x14ac:dyDescent="0.25">
      <c r="A185" t="s">
        <v>335</v>
      </c>
      <c r="B185" t="s">
        <v>361</v>
      </c>
      <c r="C185" t="s">
        <v>398</v>
      </c>
      <c r="E185" t="s">
        <v>469</v>
      </c>
    </row>
    <row r="186" spans="1:5" x14ac:dyDescent="0.25">
      <c r="A186" t="s">
        <v>335</v>
      </c>
      <c r="B186" t="s">
        <v>361</v>
      </c>
      <c r="C186" t="s">
        <v>399</v>
      </c>
      <c r="E186" t="s">
        <v>469</v>
      </c>
    </row>
    <row r="187" spans="1:5" x14ac:dyDescent="0.25">
      <c r="A187" t="s">
        <v>335</v>
      </c>
      <c r="B187" t="s">
        <v>361</v>
      </c>
      <c r="C187" t="s">
        <v>400</v>
      </c>
      <c r="E187" t="s">
        <v>469</v>
      </c>
    </row>
    <row r="188" spans="1:5" x14ac:dyDescent="0.25">
      <c r="A188" t="s">
        <v>335</v>
      </c>
      <c r="B188" t="s">
        <v>361</v>
      </c>
      <c r="C188" t="s">
        <v>401</v>
      </c>
      <c r="E188" t="s">
        <v>469</v>
      </c>
    </row>
    <row r="189" spans="1:5" x14ac:dyDescent="0.25">
      <c r="A189" t="s">
        <v>335</v>
      </c>
      <c r="B189" t="s">
        <v>361</v>
      </c>
      <c r="C189" t="s">
        <v>402</v>
      </c>
      <c r="E189" t="s">
        <v>469</v>
      </c>
    </row>
    <row r="190" spans="1:5" x14ac:dyDescent="0.25">
      <c r="A190" t="s">
        <v>335</v>
      </c>
      <c r="B190" t="s">
        <v>361</v>
      </c>
      <c r="C190" t="s">
        <v>403</v>
      </c>
      <c r="E190" t="s">
        <v>469</v>
      </c>
    </row>
    <row r="191" spans="1:5" x14ac:dyDescent="0.25">
      <c r="A191" t="s">
        <v>335</v>
      </c>
      <c r="B191" t="s">
        <v>361</v>
      </c>
      <c r="C191" t="s">
        <v>404</v>
      </c>
      <c r="E191" t="s">
        <v>469</v>
      </c>
    </row>
    <row r="192" spans="1:5" x14ac:dyDescent="0.25">
      <c r="A192" t="s">
        <v>335</v>
      </c>
      <c r="B192" t="s">
        <v>361</v>
      </c>
      <c r="C192" t="s">
        <v>405</v>
      </c>
      <c r="E192" t="s">
        <v>469</v>
      </c>
    </row>
    <row r="193" spans="1:5" x14ac:dyDescent="0.25">
      <c r="A193" t="s">
        <v>335</v>
      </c>
      <c r="B193" t="s">
        <v>361</v>
      </c>
      <c r="C193" t="s">
        <v>406</v>
      </c>
      <c r="E193" t="s">
        <v>469</v>
      </c>
    </row>
    <row r="194" spans="1:5" x14ac:dyDescent="0.25">
      <c r="A194" t="s">
        <v>335</v>
      </c>
      <c r="B194" t="s">
        <v>361</v>
      </c>
      <c r="C194" t="s">
        <v>407</v>
      </c>
      <c r="E194" t="s">
        <v>469</v>
      </c>
    </row>
    <row r="195" spans="1:5" x14ac:dyDescent="0.25">
      <c r="A195" t="s">
        <v>335</v>
      </c>
      <c r="B195" t="s">
        <v>361</v>
      </c>
      <c r="C195" t="s">
        <v>408</v>
      </c>
      <c r="E195" t="s">
        <v>469</v>
      </c>
    </row>
    <row r="196" spans="1:5" x14ac:dyDescent="0.25">
      <c r="A196" t="s">
        <v>335</v>
      </c>
      <c r="B196" t="s">
        <v>361</v>
      </c>
      <c r="C196" t="s">
        <v>409</v>
      </c>
      <c r="E196" t="s">
        <v>469</v>
      </c>
    </row>
    <row r="197" spans="1:5" x14ac:dyDescent="0.25">
      <c r="A197" t="s">
        <v>335</v>
      </c>
      <c r="B197" t="s">
        <v>361</v>
      </c>
      <c r="C197" t="s">
        <v>410</v>
      </c>
      <c r="E197" t="s">
        <v>469</v>
      </c>
    </row>
    <row r="198" spans="1:5" x14ac:dyDescent="0.25">
      <c r="A198" t="s">
        <v>335</v>
      </c>
      <c r="B198" t="s">
        <v>361</v>
      </c>
      <c r="C198" t="s">
        <v>411</v>
      </c>
      <c r="E198" t="s">
        <v>469</v>
      </c>
    </row>
    <row r="199" spans="1:5" x14ac:dyDescent="0.25">
      <c r="A199" t="s">
        <v>335</v>
      </c>
      <c r="B199" t="s">
        <v>361</v>
      </c>
      <c r="C199" t="s">
        <v>412</v>
      </c>
      <c r="E199" t="s">
        <v>469</v>
      </c>
    </row>
    <row r="200" spans="1:5" x14ac:dyDescent="0.25">
      <c r="A200" t="s">
        <v>335</v>
      </c>
      <c r="B200" t="s">
        <v>361</v>
      </c>
      <c r="C200" t="s">
        <v>413</v>
      </c>
      <c r="E200" t="s">
        <v>469</v>
      </c>
    </row>
    <row r="201" spans="1:5" x14ac:dyDescent="0.25">
      <c r="A201" t="s">
        <v>335</v>
      </c>
      <c r="B201" t="s">
        <v>361</v>
      </c>
      <c r="C201" t="s">
        <v>414</v>
      </c>
      <c r="E201" t="s">
        <v>469</v>
      </c>
    </row>
    <row r="202" spans="1:5" x14ac:dyDescent="0.25">
      <c r="A202" t="s">
        <v>335</v>
      </c>
      <c r="B202" t="s">
        <v>361</v>
      </c>
      <c r="C202" t="s">
        <v>415</v>
      </c>
      <c r="E202" t="s">
        <v>469</v>
      </c>
    </row>
    <row r="203" spans="1:5" x14ac:dyDescent="0.25">
      <c r="A203" t="s">
        <v>335</v>
      </c>
      <c r="B203" t="s">
        <v>361</v>
      </c>
      <c r="C203" t="s">
        <v>416</v>
      </c>
      <c r="E203" t="s">
        <v>469</v>
      </c>
    </row>
    <row r="204" spans="1:5" x14ac:dyDescent="0.25">
      <c r="A204" t="s">
        <v>335</v>
      </c>
      <c r="B204" t="s">
        <v>361</v>
      </c>
      <c r="C204" t="s">
        <v>417</v>
      </c>
      <c r="E204" t="s">
        <v>469</v>
      </c>
    </row>
    <row r="205" spans="1:5" x14ac:dyDescent="0.25">
      <c r="A205" t="s">
        <v>335</v>
      </c>
      <c r="B205" t="s">
        <v>361</v>
      </c>
      <c r="C205" t="s">
        <v>418</v>
      </c>
      <c r="E205" t="s">
        <v>469</v>
      </c>
    </row>
    <row r="206" spans="1:5" x14ac:dyDescent="0.25">
      <c r="A206" t="s">
        <v>335</v>
      </c>
      <c r="B206" t="s">
        <v>361</v>
      </c>
      <c r="C206" t="s">
        <v>419</v>
      </c>
      <c r="E206" t="s">
        <v>469</v>
      </c>
    </row>
    <row r="207" spans="1:5" x14ac:dyDescent="0.25">
      <c r="A207" t="s">
        <v>335</v>
      </c>
      <c r="B207" t="s">
        <v>361</v>
      </c>
      <c r="C207" t="s">
        <v>420</v>
      </c>
      <c r="E207" t="s">
        <v>469</v>
      </c>
    </row>
    <row r="208" spans="1:5" x14ac:dyDescent="0.25">
      <c r="A208" t="s">
        <v>335</v>
      </c>
      <c r="B208" t="s">
        <v>361</v>
      </c>
      <c r="C208" t="s">
        <v>421</v>
      </c>
      <c r="E208" t="s">
        <v>469</v>
      </c>
    </row>
    <row r="209" spans="1:5" x14ac:dyDescent="0.25">
      <c r="A209" t="s">
        <v>335</v>
      </c>
      <c r="B209" t="s">
        <v>361</v>
      </c>
      <c r="C209" t="s">
        <v>422</v>
      </c>
      <c r="E209" t="s">
        <v>469</v>
      </c>
    </row>
    <row r="210" spans="1:5" x14ac:dyDescent="0.25">
      <c r="A210" t="s">
        <v>335</v>
      </c>
      <c r="B210" t="s">
        <v>361</v>
      </c>
      <c r="C210" t="s">
        <v>423</v>
      </c>
      <c r="E210" t="s">
        <v>469</v>
      </c>
    </row>
    <row r="211" spans="1:5" x14ac:dyDescent="0.25">
      <c r="A211" t="s">
        <v>335</v>
      </c>
      <c r="B211" t="s">
        <v>361</v>
      </c>
      <c r="C211" t="s">
        <v>424</v>
      </c>
      <c r="E211" t="s">
        <v>469</v>
      </c>
    </row>
    <row r="212" spans="1:5" x14ac:dyDescent="0.25">
      <c r="A212" t="s">
        <v>335</v>
      </c>
      <c r="B212" t="s">
        <v>361</v>
      </c>
      <c r="C212" t="s">
        <v>425</v>
      </c>
      <c r="E212" t="s">
        <v>469</v>
      </c>
    </row>
    <row r="213" spans="1:5" x14ac:dyDescent="0.25">
      <c r="A213" t="s">
        <v>335</v>
      </c>
      <c r="B213" t="s">
        <v>361</v>
      </c>
      <c r="C213" t="s">
        <v>426</v>
      </c>
      <c r="E213" t="s">
        <v>469</v>
      </c>
    </row>
    <row r="214" spans="1:5" x14ac:dyDescent="0.25">
      <c r="A214" t="s">
        <v>335</v>
      </c>
      <c r="B214" t="s">
        <v>361</v>
      </c>
      <c r="C214" t="s">
        <v>427</v>
      </c>
      <c r="E214" t="s">
        <v>469</v>
      </c>
    </row>
    <row r="215" spans="1:5" x14ac:dyDescent="0.25">
      <c r="A215" t="s">
        <v>335</v>
      </c>
      <c r="B215" t="s">
        <v>361</v>
      </c>
      <c r="C215" t="s">
        <v>428</v>
      </c>
      <c r="E215" t="s">
        <v>469</v>
      </c>
    </row>
    <row r="216" spans="1:5" x14ac:dyDescent="0.25">
      <c r="A216" t="s">
        <v>335</v>
      </c>
      <c r="B216" t="s">
        <v>361</v>
      </c>
      <c r="C216" t="s">
        <v>429</v>
      </c>
      <c r="E216" t="s">
        <v>469</v>
      </c>
    </row>
    <row r="217" spans="1:5" x14ac:dyDescent="0.25">
      <c r="A217" t="s">
        <v>335</v>
      </c>
      <c r="B217" t="s">
        <v>361</v>
      </c>
      <c r="C217" t="s">
        <v>430</v>
      </c>
      <c r="E217" t="s">
        <v>469</v>
      </c>
    </row>
    <row r="218" spans="1:5" x14ac:dyDescent="0.25">
      <c r="A218" t="s">
        <v>335</v>
      </c>
      <c r="B218" t="s">
        <v>361</v>
      </c>
      <c r="C218" t="s">
        <v>431</v>
      </c>
      <c r="E218" t="s">
        <v>469</v>
      </c>
    </row>
    <row r="219" spans="1:5" x14ac:dyDescent="0.25">
      <c r="A219" t="s">
        <v>335</v>
      </c>
      <c r="B219" t="s">
        <v>361</v>
      </c>
      <c r="C219" t="s">
        <v>432</v>
      </c>
      <c r="E219" t="s">
        <v>469</v>
      </c>
    </row>
    <row r="220" spans="1:5" x14ac:dyDescent="0.25">
      <c r="A220" t="s">
        <v>335</v>
      </c>
      <c r="B220" t="s">
        <v>361</v>
      </c>
      <c r="C220" t="s">
        <v>433</v>
      </c>
      <c r="E220" t="s">
        <v>469</v>
      </c>
    </row>
    <row r="221" spans="1:5" x14ac:dyDescent="0.25">
      <c r="A221" t="s">
        <v>335</v>
      </c>
      <c r="B221" t="s">
        <v>361</v>
      </c>
      <c r="C221" t="s">
        <v>434</v>
      </c>
      <c r="E221" t="s">
        <v>469</v>
      </c>
    </row>
    <row r="222" spans="1:5" x14ac:dyDescent="0.25">
      <c r="A222" t="s">
        <v>335</v>
      </c>
      <c r="B222" t="s">
        <v>361</v>
      </c>
      <c r="C222" t="s">
        <v>435</v>
      </c>
      <c r="E222" t="s">
        <v>469</v>
      </c>
    </row>
    <row r="223" spans="1:5" x14ac:dyDescent="0.25">
      <c r="A223" t="s">
        <v>335</v>
      </c>
      <c r="B223" t="s">
        <v>361</v>
      </c>
      <c r="C223" t="s">
        <v>436</v>
      </c>
      <c r="E223" t="s">
        <v>469</v>
      </c>
    </row>
    <row r="224" spans="1:5" x14ac:dyDescent="0.25">
      <c r="A224" t="s">
        <v>335</v>
      </c>
      <c r="B224" t="s">
        <v>361</v>
      </c>
      <c r="C224" t="s">
        <v>437</v>
      </c>
      <c r="E224" t="s">
        <v>469</v>
      </c>
    </row>
    <row r="225" spans="1:5" x14ac:dyDescent="0.25">
      <c r="A225" t="s">
        <v>335</v>
      </c>
      <c r="B225" t="s">
        <v>361</v>
      </c>
      <c r="C225" t="s">
        <v>438</v>
      </c>
      <c r="E225" t="s">
        <v>469</v>
      </c>
    </row>
    <row r="226" spans="1:5" x14ac:dyDescent="0.25">
      <c r="A226" t="s">
        <v>335</v>
      </c>
      <c r="B226" t="s">
        <v>361</v>
      </c>
      <c r="C226" t="s">
        <v>439</v>
      </c>
      <c r="E226" t="s">
        <v>469</v>
      </c>
    </row>
    <row r="227" spans="1:5" x14ac:dyDescent="0.25">
      <c r="A227" t="s">
        <v>335</v>
      </c>
      <c r="B227" t="s">
        <v>361</v>
      </c>
      <c r="C227" t="s">
        <v>440</v>
      </c>
      <c r="E227" t="s">
        <v>469</v>
      </c>
    </row>
    <row r="228" spans="1:5" x14ac:dyDescent="0.25">
      <c r="A228" t="s">
        <v>335</v>
      </c>
      <c r="B228" t="s">
        <v>361</v>
      </c>
      <c r="C228" t="s">
        <v>441</v>
      </c>
      <c r="E228" t="s">
        <v>469</v>
      </c>
    </row>
    <row r="229" spans="1:5" x14ac:dyDescent="0.25">
      <c r="A229" t="s">
        <v>335</v>
      </c>
      <c r="B229" t="s">
        <v>361</v>
      </c>
      <c r="C229" t="s">
        <v>442</v>
      </c>
      <c r="E229" t="s">
        <v>469</v>
      </c>
    </row>
    <row r="230" spans="1:5" x14ac:dyDescent="0.25">
      <c r="A230" t="s">
        <v>335</v>
      </c>
      <c r="B230" t="s">
        <v>361</v>
      </c>
      <c r="C230" t="s">
        <v>443</v>
      </c>
      <c r="E230" t="s">
        <v>469</v>
      </c>
    </row>
    <row r="231" spans="1:5" x14ac:dyDescent="0.25">
      <c r="A231" t="s">
        <v>335</v>
      </c>
      <c r="B231" t="s">
        <v>361</v>
      </c>
      <c r="C231" t="s">
        <v>444</v>
      </c>
      <c r="E231" t="s">
        <v>469</v>
      </c>
    </row>
    <row r="232" spans="1:5" x14ac:dyDescent="0.25">
      <c r="A232" t="s">
        <v>335</v>
      </c>
      <c r="B232" t="s">
        <v>361</v>
      </c>
      <c r="C232" t="s">
        <v>445</v>
      </c>
      <c r="E232" t="s">
        <v>469</v>
      </c>
    </row>
    <row r="233" spans="1:5" x14ac:dyDescent="0.25">
      <c r="A233" t="s">
        <v>335</v>
      </c>
      <c r="B233" t="s">
        <v>361</v>
      </c>
      <c r="C233" t="s">
        <v>446</v>
      </c>
      <c r="E233" t="s">
        <v>469</v>
      </c>
    </row>
    <row r="234" spans="1:5" x14ac:dyDescent="0.25">
      <c r="A234" t="s">
        <v>335</v>
      </c>
      <c r="B234" t="s">
        <v>361</v>
      </c>
      <c r="C234" t="s">
        <v>447</v>
      </c>
      <c r="E234" t="s">
        <v>469</v>
      </c>
    </row>
    <row r="235" spans="1:5" x14ac:dyDescent="0.25">
      <c r="A235" t="s">
        <v>335</v>
      </c>
      <c r="B235" t="s">
        <v>361</v>
      </c>
      <c r="C235" t="s">
        <v>448</v>
      </c>
      <c r="E235" t="s">
        <v>469</v>
      </c>
    </row>
    <row r="236" spans="1:5" x14ac:dyDescent="0.25">
      <c r="A236" t="s">
        <v>335</v>
      </c>
      <c r="B236" t="s">
        <v>361</v>
      </c>
      <c r="C236" t="s">
        <v>449</v>
      </c>
      <c r="E236" t="s">
        <v>469</v>
      </c>
    </row>
    <row r="237" spans="1:5" x14ac:dyDescent="0.25">
      <c r="A237" t="s">
        <v>335</v>
      </c>
      <c r="B237" t="s">
        <v>361</v>
      </c>
      <c r="C237" t="s">
        <v>450</v>
      </c>
      <c r="E237" t="s">
        <v>469</v>
      </c>
    </row>
    <row r="238" spans="1:5" x14ac:dyDescent="0.25">
      <c r="A238" t="s">
        <v>335</v>
      </c>
      <c r="B238" t="s">
        <v>361</v>
      </c>
      <c r="C238" t="s">
        <v>451</v>
      </c>
      <c r="E238" t="s">
        <v>469</v>
      </c>
    </row>
    <row r="239" spans="1:5" x14ac:dyDescent="0.25">
      <c r="A239" t="s">
        <v>335</v>
      </c>
      <c r="B239" t="s">
        <v>361</v>
      </c>
      <c r="C239" t="s">
        <v>452</v>
      </c>
      <c r="E239" t="s">
        <v>469</v>
      </c>
    </row>
    <row r="240" spans="1:5" x14ac:dyDescent="0.25">
      <c r="A240" t="s">
        <v>335</v>
      </c>
      <c r="B240" t="s">
        <v>361</v>
      </c>
      <c r="C240" t="s">
        <v>453</v>
      </c>
      <c r="E240" t="s">
        <v>469</v>
      </c>
    </row>
    <row r="241" spans="1:5" x14ac:dyDescent="0.25">
      <c r="A241" t="s">
        <v>335</v>
      </c>
      <c r="B241" t="s">
        <v>361</v>
      </c>
      <c r="C241" t="s">
        <v>454</v>
      </c>
      <c r="E241" t="s">
        <v>469</v>
      </c>
    </row>
    <row r="242" spans="1:5" x14ac:dyDescent="0.25">
      <c r="A242" t="s">
        <v>335</v>
      </c>
      <c r="B242" t="s">
        <v>361</v>
      </c>
      <c r="C242" t="s">
        <v>455</v>
      </c>
      <c r="E242" t="s">
        <v>469</v>
      </c>
    </row>
    <row r="243" spans="1:5" x14ac:dyDescent="0.25">
      <c r="A243" t="s">
        <v>335</v>
      </c>
      <c r="B243" t="s">
        <v>361</v>
      </c>
      <c r="C243" t="s">
        <v>456</v>
      </c>
      <c r="E243" t="s">
        <v>469</v>
      </c>
    </row>
    <row r="244" spans="1:5" x14ac:dyDescent="0.25">
      <c r="A244" t="s">
        <v>335</v>
      </c>
      <c r="B244" t="s">
        <v>361</v>
      </c>
      <c r="C244" t="s">
        <v>457</v>
      </c>
      <c r="E244" t="s">
        <v>469</v>
      </c>
    </row>
    <row r="245" spans="1:5" x14ac:dyDescent="0.25">
      <c r="A245" t="s">
        <v>335</v>
      </c>
      <c r="B245" t="s">
        <v>361</v>
      </c>
      <c r="C245" t="s">
        <v>458</v>
      </c>
      <c r="E245" t="s">
        <v>469</v>
      </c>
    </row>
    <row r="246" spans="1:5" x14ac:dyDescent="0.25">
      <c r="A246" t="s">
        <v>335</v>
      </c>
      <c r="B246" t="s">
        <v>361</v>
      </c>
      <c r="C246" t="s">
        <v>459</v>
      </c>
      <c r="E246" t="s">
        <v>469</v>
      </c>
    </row>
    <row r="247" spans="1:5" x14ac:dyDescent="0.25">
      <c r="A247" t="s">
        <v>335</v>
      </c>
      <c r="B247" t="s">
        <v>361</v>
      </c>
      <c r="C247" t="s">
        <v>460</v>
      </c>
      <c r="E247" t="s">
        <v>469</v>
      </c>
    </row>
    <row r="248" spans="1:5" x14ac:dyDescent="0.25">
      <c r="A248" t="s">
        <v>335</v>
      </c>
      <c r="B248" t="s">
        <v>361</v>
      </c>
      <c r="C248" t="s">
        <v>461</v>
      </c>
      <c r="E248" t="s">
        <v>469</v>
      </c>
    </row>
    <row r="249" spans="1:5" x14ac:dyDescent="0.25">
      <c r="A249" t="s">
        <v>335</v>
      </c>
      <c r="B249" t="s">
        <v>361</v>
      </c>
      <c r="C249" t="s">
        <v>462</v>
      </c>
      <c r="E249" t="s">
        <v>469</v>
      </c>
    </row>
    <row r="250" spans="1:5" x14ac:dyDescent="0.25">
      <c r="A250" t="s">
        <v>325</v>
      </c>
      <c r="B250" t="s">
        <v>365</v>
      </c>
      <c r="C250" t="s">
        <v>378</v>
      </c>
      <c r="E250" t="s">
        <v>275</v>
      </c>
    </row>
    <row r="251" spans="1:5" x14ac:dyDescent="0.25">
      <c r="A251" t="s">
        <v>325</v>
      </c>
      <c r="B251" t="s">
        <v>361</v>
      </c>
      <c r="C251" t="s">
        <v>463</v>
      </c>
      <c r="E251" t="s">
        <v>470</v>
      </c>
    </row>
    <row r="252" spans="1:5" x14ac:dyDescent="0.25">
      <c r="A252" t="s">
        <v>325</v>
      </c>
      <c r="B252" t="s">
        <v>361</v>
      </c>
      <c r="C252" t="s">
        <v>464</v>
      </c>
      <c r="E252" t="s">
        <v>470</v>
      </c>
    </row>
    <row r="253" spans="1:5" x14ac:dyDescent="0.25">
      <c r="A253" t="s">
        <v>327</v>
      </c>
      <c r="B253" t="s">
        <v>361</v>
      </c>
      <c r="C253" t="s">
        <v>378</v>
      </c>
      <c r="E253" t="s">
        <v>275</v>
      </c>
    </row>
    <row r="254" spans="1:5" x14ac:dyDescent="0.25">
      <c r="A254" t="s">
        <v>353</v>
      </c>
      <c r="B254" t="s">
        <v>361</v>
      </c>
      <c r="C254" t="s">
        <v>381</v>
      </c>
      <c r="E254" t="s">
        <v>154</v>
      </c>
    </row>
    <row r="256" spans="1:5" x14ac:dyDescent="0.25">
      <c r="A256" t="s">
        <v>471</v>
      </c>
    </row>
    <row r="257" spans="1:5" x14ac:dyDescent="0.25">
      <c r="A257" t="s">
        <v>472</v>
      </c>
    </row>
    <row r="258" spans="1:5" x14ac:dyDescent="0.25">
      <c r="A258" t="s">
        <v>473</v>
      </c>
    </row>
    <row r="259" spans="1:5" x14ac:dyDescent="0.25">
      <c r="A259" t="s">
        <v>466</v>
      </c>
      <c r="B259" t="s">
        <v>355</v>
      </c>
      <c r="C259" t="s">
        <v>359</v>
      </c>
      <c r="D259" t="s">
        <v>467</v>
      </c>
      <c r="E259" t="s">
        <v>360</v>
      </c>
    </row>
    <row r="260" spans="1:5" x14ac:dyDescent="0.25">
      <c r="A260" t="s">
        <v>472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election activeCell="C3" sqref="C3"/>
    </sheetView>
  </sheetViews>
  <sheetFormatPr defaultRowHeight="15.7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J110"/>
  <sheetViews>
    <sheetView zoomScale="85" zoomScaleNormal="85" workbookViewId="0">
      <pane xSplit="11" ySplit="6" topLeftCell="L7" activePane="bottomRight" state="frozenSplit"/>
      <selection pane="topRight" activeCell="N1" sqref="N1"/>
      <selection pane="bottomLeft" activeCell="A7" sqref="A7"/>
      <selection pane="bottomRight" activeCell="D20" sqref="D20"/>
    </sheetView>
  </sheetViews>
  <sheetFormatPr defaultRowHeight="15.75" x14ac:dyDescent="0.25"/>
  <cols>
    <col min="2" max="2" width="27.625" customWidth="1"/>
    <col min="3" max="3" width="20" style="61" hidden="1" customWidth="1"/>
    <col min="4" max="4" width="37.5" customWidth="1"/>
    <col min="5" max="5" width="37.5" style="61" hidden="1" customWidth="1"/>
    <col min="6" max="8" width="9" style="61" hidden="1" customWidth="1"/>
    <col min="9" max="9" width="6.25" style="61" hidden="1" customWidth="1"/>
    <col min="10" max="10" width="11.75" bestFit="1" customWidth="1"/>
    <col min="11" max="11" width="3.5" style="54" customWidth="1"/>
    <col min="14" max="15" width="10.125" bestFit="1" customWidth="1"/>
    <col min="16" max="16" width="12.375" bestFit="1" customWidth="1"/>
    <col min="17" max="17" width="10.25" bestFit="1" customWidth="1"/>
    <col min="18" max="19" width="12.375" bestFit="1" customWidth="1"/>
    <col min="20" max="21" width="10.5" bestFit="1" customWidth="1"/>
    <col min="22" max="22" width="12.375" bestFit="1" customWidth="1"/>
    <col min="23" max="23" width="12.75" bestFit="1" customWidth="1"/>
    <col min="24" max="26" width="14" customWidth="1"/>
  </cols>
  <sheetData>
    <row r="1" spans="1:62" x14ac:dyDescent="0.25">
      <c r="J1" s="26" t="s">
        <v>321</v>
      </c>
      <c r="L1" s="26" t="s">
        <v>474</v>
      </c>
      <c r="M1" s="26" t="s">
        <v>326</v>
      </c>
      <c r="N1" s="26" t="s">
        <v>326</v>
      </c>
      <c r="O1" s="26" t="s">
        <v>326</v>
      </c>
      <c r="P1" s="26" t="s">
        <v>330</v>
      </c>
      <c r="Q1" s="26" t="s">
        <v>326</v>
      </c>
      <c r="R1" s="26" t="s">
        <v>330</v>
      </c>
      <c r="S1" s="26" t="s">
        <v>326</v>
      </c>
      <c r="T1" s="26" t="s">
        <v>330</v>
      </c>
      <c r="U1" s="26" t="s">
        <v>326</v>
      </c>
      <c r="V1" s="26" t="s">
        <v>326</v>
      </c>
      <c r="W1" s="26" t="s">
        <v>330</v>
      </c>
      <c r="X1" s="26" t="s">
        <v>326</v>
      </c>
      <c r="Y1" s="26" t="s">
        <v>330</v>
      </c>
      <c r="Z1" s="26" t="s">
        <v>326</v>
      </c>
      <c r="AA1" s="26" t="s">
        <v>330</v>
      </c>
      <c r="AB1" s="26" t="s">
        <v>326</v>
      </c>
      <c r="AC1" s="26" t="s">
        <v>330</v>
      </c>
      <c r="AD1" s="26" t="s">
        <v>326</v>
      </c>
      <c r="AE1" s="26" t="s">
        <v>330</v>
      </c>
      <c r="AF1" s="26" t="s">
        <v>326</v>
      </c>
      <c r="AG1" s="26" t="s">
        <v>330</v>
      </c>
      <c r="AH1" s="26" t="s">
        <v>326</v>
      </c>
      <c r="AI1" s="26" t="s">
        <v>330</v>
      </c>
      <c r="AJ1" s="26" t="s">
        <v>326</v>
      </c>
      <c r="AK1" s="26" t="s">
        <v>330</v>
      </c>
      <c r="AL1" s="26" t="s">
        <v>326</v>
      </c>
      <c r="AM1" s="26" t="s">
        <v>326</v>
      </c>
      <c r="AN1" s="26"/>
      <c r="AO1" s="26"/>
      <c r="AP1" s="26"/>
      <c r="AQ1" s="26"/>
      <c r="AR1" s="26"/>
      <c r="AS1" s="26"/>
      <c r="AT1" s="26"/>
    </row>
    <row r="2" spans="1:62" x14ac:dyDescent="0.25">
      <c r="J2" s="26" t="s">
        <v>475</v>
      </c>
      <c r="L2" s="26"/>
      <c r="M2" s="26">
        <v>1</v>
      </c>
      <c r="N2" s="26">
        <v>2</v>
      </c>
      <c r="O2" s="26">
        <v>1</v>
      </c>
      <c r="P2" s="26">
        <v>7</v>
      </c>
      <c r="Q2" s="26">
        <v>1</v>
      </c>
      <c r="R2" s="26">
        <v>7</v>
      </c>
      <c r="S2" s="26">
        <v>1</v>
      </c>
      <c r="T2" s="26">
        <v>30</v>
      </c>
      <c r="U2" s="26">
        <v>1</v>
      </c>
      <c r="V2" s="26">
        <v>1</v>
      </c>
      <c r="W2">
        <v>30</v>
      </c>
      <c r="X2" s="26">
        <v>1</v>
      </c>
      <c r="Y2" s="26">
        <v>30</v>
      </c>
      <c r="Z2" s="26">
        <v>1</v>
      </c>
      <c r="AA2" s="26">
        <v>14</v>
      </c>
      <c r="AB2" s="26">
        <v>1</v>
      </c>
      <c r="AC2" s="26">
        <v>14</v>
      </c>
      <c r="AD2" s="26">
        <v>1</v>
      </c>
      <c r="AE2" s="26">
        <v>14</v>
      </c>
      <c r="AF2" s="26">
        <v>1</v>
      </c>
      <c r="AG2" s="26">
        <v>14</v>
      </c>
      <c r="AH2" s="26">
        <v>1</v>
      </c>
      <c r="AI2" s="26">
        <v>1</v>
      </c>
      <c r="AJ2" s="26">
        <v>1</v>
      </c>
      <c r="AK2" s="26">
        <v>7</v>
      </c>
      <c r="AL2" s="26">
        <v>1</v>
      </c>
      <c r="AM2" s="26">
        <v>1</v>
      </c>
      <c r="AN2" s="26"/>
      <c r="AO2" s="26"/>
      <c r="AP2" s="26"/>
      <c r="AQ2" s="26"/>
      <c r="AR2" s="26"/>
      <c r="AS2" s="26"/>
      <c r="AT2" s="26"/>
    </row>
    <row r="3" spans="1:62" x14ac:dyDescent="0.25">
      <c r="J3" t="s">
        <v>476</v>
      </c>
      <c r="M3" t="s">
        <v>155</v>
      </c>
      <c r="N3" t="s">
        <v>155</v>
      </c>
      <c r="O3" t="s">
        <v>155</v>
      </c>
      <c r="P3" t="s">
        <v>155</v>
      </c>
      <c r="Q3" t="s">
        <v>155</v>
      </c>
      <c r="R3" t="s">
        <v>155</v>
      </c>
      <c r="S3" t="s">
        <v>155</v>
      </c>
      <c r="T3" t="s">
        <v>155</v>
      </c>
      <c r="U3" t="s">
        <v>155</v>
      </c>
      <c r="V3" t="s">
        <v>155</v>
      </c>
      <c r="W3" t="s">
        <v>155</v>
      </c>
      <c r="X3" t="s">
        <v>155</v>
      </c>
      <c r="Y3" t="s">
        <v>155</v>
      </c>
      <c r="Z3" t="s">
        <v>155</v>
      </c>
      <c r="AA3" t="s">
        <v>155</v>
      </c>
      <c r="AB3" t="s">
        <v>155</v>
      </c>
      <c r="AC3" t="s">
        <v>155</v>
      </c>
      <c r="AD3" t="s">
        <v>155</v>
      </c>
      <c r="AE3" t="s">
        <v>155</v>
      </c>
      <c r="AF3" t="s">
        <v>155</v>
      </c>
      <c r="AG3" t="s">
        <v>155</v>
      </c>
      <c r="AH3" t="s">
        <v>155</v>
      </c>
      <c r="AI3" t="s">
        <v>155</v>
      </c>
      <c r="AJ3" t="s">
        <v>155</v>
      </c>
      <c r="AK3" t="s">
        <v>155</v>
      </c>
      <c r="AL3" t="s">
        <v>155</v>
      </c>
      <c r="AM3" t="s">
        <v>155</v>
      </c>
    </row>
    <row r="4" spans="1:62" x14ac:dyDescent="0.25">
      <c r="B4" s="55" t="s">
        <v>477</v>
      </c>
      <c r="D4" s="55"/>
      <c r="F4" s="65"/>
      <c r="J4" t="s">
        <v>478</v>
      </c>
      <c r="M4" t="s">
        <v>479</v>
      </c>
      <c r="T4" t="s">
        <v>480</v>
      </c>
      <c r="U4" t="s">
        <v>481</v>
      </c>
      <c r="V4" t="s">
        <v>482</v>
      </c>
      <c r="Z4" t="s">
        <v>483</v>
      </c>
      <c r="AA4" t="s">
        <v>480</v>
      </c>
      <c r="AC4" t="s">
        <v>480</v>
      </c>
      <c r="AE4" t="s">
        <v>480</v>
      </c>
      <c r="AG4" t="s">
        <v>480</v>
      </c>
      <c r="AI4" t="s">
        <v>480</v>
      </c>
      <c r="AJ4" t="s">
        <v>484</v>
      </c>
      <c r="AL4" t="s">
        <v>485</v>
      </c>
    </row>
    <row r="5" spans="1:62" x14ac:dyDescent="0.25">
      <c r="B5" t="s">
        <v>603</v>
      </c>
      <c r="F5" s="65"/>
    </row>
    <row r="6" spans="1:62" x14ac:dyDescent="0.25">
      <c r="B6" s="39" t="s">
        <v>320</v>
      </c>
      <c r="C6" s="62" t="s">
        <v>28</v>
      </c>
      <c r="D6" s="60" t="s">
        <v>486</v>
      </c>
      <c r="E6" s="62" t="s">
        <v>114</v>
      </c>
      <c r="F6" s="62" t="s">
        <v>115</v>
      </c>
      <c r="G6" s="62" t="s">
        <v>116</v>
      </c>
      <c r="H6" s="62" t="s">
        <v>117</v>
      </c>
      <c r="I6" s="62" t="s">
        <v>118</v>
      </c>
      <c r="J6" s="39" t="s">
        <v>487</v>
      </c>
      <c r="L6" s="39" t="s">
        <v>323</v>
      </c>
      <c r="M6" s="39" t="s">
        <v>325</v>
      </c>
      <c r="N6" s="39" t="s">
        <v>327</v>
      </c>
      <c r="O6" s="39" t="s">
        <v>328</v>
      </c>
      <c r="P6" s="39" t="s">
        <v>329</v>
      </c>
      <c r="Q6" s="39" t="s">
        <v>331</v>
      </c>
      <c r="R6" s="39" t="s">
        <v>332</v>
      </c>
      <c r="S6" s="39" t="s">
        <v>333</v>
      </c>
      <c r="T6" s="39" t="s">
        <v>334</v>
      </c>
      <c r="U6" s="39" t="s">
        <v>335</v>
      </c>
      <c r="V6" s="39" t="s">
        <v>336</v>
      </c>
      <c r="W6" s="39" t="s">
        <v>337</v>
      </c>
      <c r="X6" s="39" t="s">
        <v>338</v>
      </c>
      <c r="Y6" s="39" t="s">
        <v>339</v>
      </c>
      <c r="Z6" s="39" t="s">
        <v>340</v>
      </c>
      <c r="AA6" s="39" t="s">
        <v>341</v>
      </c>
      <c r="AB6" s="39" t="s">
        <v>342</v>
      </c>
      <c r="AC6" s="39" t="s">
        <v>343</v>
      </c>
      <c r="AD6" s="39" t="s">
        <v>344</v>
      </c>
      <c r="AE6" s="39" t="s">
        <v>345</v>
      </c>
      <c r="AF6" s="39" t="s">
        <v>346</v>
      </c>
      <c r="AG6" s="39" t="s">
        <v>347</v>
      </c>
      <c r="AH6" s="39" t="s">
        <v>348</v>
      </c>
      <c r="AI6" s="39" t="s">
        <v>349</v>
      </c>
      <c r="AJ6" s="39" t="s">
        <v>350</v>
      </c>
      <c r="AK6" s="39" t="s">
        <v>351</v>
      </c>
      <c r="AL6" s="39" t="s">
        <v>352</v>
      </c>
      <c r="AM6" s="39" t="s">
        <v>353</v>
      </c>
      <c r="AN6" s="39" t="s">
        <v>488</v>
      </c>
      <c r="AO6" s="39" t="s">
        <v>489</v>
      </c>
      <c r="AP6" s="39" t="s">
        <v>490</v>
      </c>
      <c r="AQ6" s="39" t="s">
        <v>491</v>
      </c>
      <c r="AR6" s="39" t="s">
        <v>492</v>
      </c>
      <c r="AS6" s="39" t="s">
        <v>493</v>
      </c>
      <c r="AT6" s="39" t="s">
        <v>494</v>
      </c>
      <c r="AU6" s="39" t="s">
        <v>495</v>
      </c>
      <c r="AV6" s="39" t="s">
        <v>496</v>
      </c>
      <c r="AW6" s="39" t="s">
        <v>497</v>
      </c>
      <c r="AX6" s="39" t="s">
        <v>498</v>
      </c>
      <c r="AY6" s="39" t="s">
        <v>499</v>
      </c>
      <c r="AZ6" s="39" t="s">
        <v>500</v>
      </c>
      <c r="BA6" s="39" t="s">
        <v>501</v>
      </c>
      <c r="BB6" s="39" t="s">
        <v>502</v>
      </c>
      <c r="BC6" s="39" t="s">
        <v>503</v>
      </c>
      <c r="BD6" s="39" t="s">
        <v>504</v>
      </c>
      <c r="BE6" s="39" t="s">
        <v>505</v>
      </c>
      <c r="BF6" s="39" t="s">
        <v>506</v>
      </c>
      <c r="BG6" s="39" t="s">
        <v>507</v>
      </c>
      <c r="BH6" s="39" t="s">
        <v>508</v>
      </c>
      <c r="BI6" s="39" t="s">
        <v>509</v>
      </c>
      <c r="BJ6" s="39" t="s">
        <v>510</v>
      </c>
    </row>
    <row r="7" spans="1:62" s="67" customFormat="1" x14ac:dyDescent="0.25">
      <c r="A7"/>
      <c r="B7" s="3" t="s">
        <v>209</v>
      </c>
      <c r="C7" s="3" t="s">
        <v>468</v>
      </c>
      <c r="D7" s="3" t="s">
        <v>362</v>
      </c>
      <c r="E7" s="3" t="s">
        <v>210</v>
      </c>
      <c r="F7" s="3">
        <v>44.820999999999998</v>
      </c>
      <c r="G7" s="3">
        <v>18</v>
      </c>
      <c r="H7" s="3">
        <v>82.248000000000005</v>
      </c>
      <c r="I7" s="3">
        <v>18</v>
      </c>
      <c r="J7" s="3"/>
      <c r="K7" s="54"/>
      <c r="L7" s="41"/>
      <c r="M7" s="41"/>
      <c r="N7" s="41"/>
      <c r="O7" s="41"/>
      <c r="P7" s="41"/>
      <c r="Q7" s="41"/>
      <c r="R7" s="41"/>
      <c r="S7" s="41"/>
      <c r="T7" s="41"/>
      <c r="U7" s="41"/>
      <c r="V7" s="41"/>
      <c r="W7" s="41"/>
      <c r="X7" s="41"/>
      <c r="Y7" s="41"/>
      <c r="Z7" s="41"/>
      <c r="AA7" s="41"/>
      <c r="AB7" s="41"/>
      <c r="AC7" s="41"/>
      <c r="AD7" s="41"/>
      <c r="AE7" s="41"/>
      <c r="AF7" s="41"/>
      <c r="AG7" s="41"/>
      <c r="AH7" s="3" t="s">
        <v>15</v>
      </c>
      <c r="AI7" s="3"/>
      <c r="AJ7" s="3"/>
      <c r="AK7" s="3"/>
      <c r="AL7" s="3"/>
      <c r="AM7" s="3"/>
      <c r="AN7" s="3"/>
      <c r="AO7" s="3"/>
      <c r="AP7" s="3"/>
      <c r="AQ7" s="3"/>
      <c r="AR7" s="3"/>
      <c r="AS7" s="3"/>
      <c r="AT7" s="3"/>
      <c r="AU7" s="3"/>
      <c r="AV7" s="3"/>
      <c r="AW7" s="3"/>
      <c r="AX7" s="3"/>
      <c r="AY7" s="3"/>
      <c r="AZ7" s="3"/>
      <c r="BA7" s="3"/>
      <c r="BB7" s="3"/>
      <c r="BC7" s="82"/>
      <c r="BD7" s="82"/>
      <c r="BE7" s="82"/>
      <c r="BF7" s="82"/>
      <c r="BG7" s="82"/>
      <c r="BH7" s="82"/>
      <c r="BI7" s="82"/>
      <c r="BJ7" s="82"/>
    </row>
    <row r="8" spans="1:62" x14ac:dyDescent="0.25">
      <c r="B8" s="3" t="s">
        <v>218</v>
      </c>
      <c r="C8" s="3" t="s">
        <v>468</v>
      </c>
      <c r="D8" s="3" t="s">
        <v>363</v>
      </c>
      <c r="E8" s="3" t="s">
        <v>210</v>
      </c>
      <c r="F8" s="3">
        <v>0</v>
      </c>
      <c r="G8" s="3">
        <v>16</v>
      </c>
      <c r="H8" s="3">
        <v>0</v>
      </c>
      <c r="I8" s="3">
        <v>21</v>
      </c>
      <c r="J8" s="41"/>
      <c r="L8" s="41"/>
      <c r="M8" s="41"/>
      <c r="N8" s="41"/>
      <c r="O8" s="41"/>
      <c r="P8" s="41"/>
      <c r="Q8" s="41"/>
      <c r="R8" s="41"/>
      <c r="S8" s="41"/>
      <c r="T8" s="41"/>
      <c r="U8" s="41"/>
      <c r="V8" s="41"/>
      <c r="W8" s="41"/>
      <c r="X8" s="41" t="s">
        <v>15</v>
      </c>
      <c r="Y8" s="41"/>
      <c r="Z8" s="41" t="s">
        <v>364</v>
      </c>
      <c r="AA8" s="41"/>
      <c r="AB8" s="41"/>
      <c r="AC8" s="41"/>
      <c r="AD8" s="41"/>
      <c r="AE8" s="41"/>
      <c r="AF8" s="41"/>
      <c r="AG8" s="41"/>
      <c r="AH8" s="3"/>
      <c r="AI8" s="3"/>
      <c r="AJ8" s="3"/>
      <c r="AK8" s="3"/>
      <c r="AL8" s="3"/>
      <c r="AM8" s="3"/>
      <c r="AN8" s="3"/>
      <c r="AO8" s="3"/>
      <c r="AP8" s="3"/>
      <c r="AQ8" s="3"/>
      <c r="AR8" s="3"/>
      <c r="AS8" s="3"/>
      <c r="AT8" s="3"/>
      <c r="AU8" s="3"/>
      <c r="AV8" s="3"/>
      <c r="AW8" s="3"/>
      <c r="AX8" s="3"/>
      <c r="AY8" s="3"/>
      <c r="AZ8" s="3"/>
      <c r="BA8" s="3"/>
      <c r="BB8" s="3"/>
      <c r="BC8" s="41"/>
      <c r="BD8" s="41"/>
      <c r="BE8" s="41"/>
      <c r="BF8" s="41"/>
      <c r="BG8" s="41"/>
      <c r="BH8" s="41"/>
      <c r="BI8" s="41"/>
      <c r="BJ8" s="41"/>
    </row>
    <row r="9" spans="1:62" x14ac:dyDescent="0.25">
      <c r="B9" s="3" t="s">
        <v>224</v>
      </c>
      <c r="C9" s="63" t="s">
        <v>468</v>
      </c>
      <c r="D9" s="3" t="s">
        <v>366</v>
      </c>
      <c r="E9" s="63" t="s">
        <v>210</v>
      </c>
      <c r="F9" s="63">
        <v>38.213999999999999</v>
      </c>
      <c r="G9" s="63">
        <v>16</v>
      </c>
      <c r="H9" s="63">
        <v>88.165000000000006</v>
      </c>
      <c r="I9" s="63">
        <v>16</v>
      </c>
      <c r="J9" s="3"/>
      <c r="L9" s="3"/>
      <c r="M9" s="3"/>
      <c r="N9" s="3"/>
      <c r="O9" s="3"/>
      <c r="P9" s="3"/>
      <c r="Q9" s="3"/>
      <c r="R9" s="3"/>
      <c r="S9" s="3"/>
      <c r="T9" s="3"/>
      <c r="U9" s="3"/>
      <c r="V9" s="3"/>
      <c r="W9" s="3"/>
      <c r="X9" s="3"/>
      <c r="Y9" s="3"/>
      <c r="Z9" s="3"/>
      <c r="AA9" s="3"/>
      <c r="AB9" s="3"/>
      <c r="AC9" s="3"/>
      <c r="AD9" s="3"/>
      <c r="AE9" s="3"/>
      <c r="AF9" s="3" t="s">
        <v>15</v>
      </c>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5">
      <c r="B10" s="3" t="s">
        <v>103</v>
      </c>
      <c r="C10" s="63" t="s">
        <v>275</v>
      </c>
      <c r="D10" s="3" t="s">
        <v>367</v>
      </c>
      <c r="E10" s="63" t="s">
        <v>275</v>
      </c>
      <c r="F10" s="63">
        <v>20.489000000000001</v>
      </c>
      <c r="G10" s="63">
        <v>12</v>
      </c>
      <c r="H10" s="63">
        <v>25</v>
      </c>
      <c r="I10" s="63">
        <v>12</v>
      </c>
      <c r="J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t="s">
        <v>15</v>
      </c>
      <c r="AM10" s="3"/>
      <c r="AN10" s="3"/>
      <c r="AO10" s="3"/>
      <c r="AP10" s="3"/>
      <c r="AQ10" s="69"/>
      <c r="AR10" s="3"/>
      <c r="AS10" s="3"/>
      <c r="AT10" s="3"/>
      <c r="AU10" s="3"/>
      <c r="AV10" s="3"/>
      <c r="AW10" s="3"/>
      <c r="AX10" s="3"/>
      <c r="AY10" s="3"/>
      <c r="AZ10" s="3"/>
      <c r="BA10" s="3"/>
      <c r="BB10" s="3"/>
      <c r="BC10" s="3"/>
      <c r="BD10" s="3"/>
      <c r="BE10" s="3"/>
      <c r="BF10" s="3"/>
      <c r="BG10" s="3"/>
      <c r="BH10" s="3"/>
      <c r="BI10" s="3"/>
      <c r="BJ10" s="3"/>
    </row>
    <row r="11" spans="1:62" x14ac:dyDescent="0.25">
      <c r="B11" s="3" t="s">
        <v>229</v>
      </c>
      <c r="C11" s="63" t="s">
        <v>468</v>
      </c>
      <c r="D11" s="3" t="s">
        <v>368</v>
      </c>
      <c r="E11" s="63" t="s">
        <v>210</v>
      </c>
      <c r="F11" s="63">
        <v>31.606999999999999</v>
      </c>
      <c r="G11" s="63">
        <v>14</v>
      </c>
      <c r="H11" s="63">
        <v>94.082999999999998</v>
      </c>
      <c r="I11" s="63">
        <v>14</v>
      </c>
      <c r="J11" s="69"/>
      <c r="L11" s="69"/>
      <c r="M11" s="69"/>
      <c r="N11" s="69"/>
      <c r="O11" s="69"/>
      <c r="P11" s="69"/>
      <c r="Q11" s="69"/>
      <c r="R11" s="69"/>
      <c r="S11" s="69"/>
      <c r="T11" s="69"/>
      <c r="U11" s="69"/>
      <c r="V11" s="69"/>
      <c r="W11" s="69"/>
      <c r="X11" s="69"/>
      <c r="Y11" s="69"/>
      <c r="Z11" s="69"/>
      <c r="AA11" s="69"/>
      <c r="AB11" s="69"/>
      <c r="AC11" s="69"/>
      <c r="AD11" s="69" t="s">
        <v>15</v>
      </c>
      <c r="AE11" s="69"/>
      <c r="AF11" s="69"/>
      <c r="AG11" s="69"/>
      <c r="AH11" s="3"/>
      <c r="AI11" s="3"/>
      <c r="AJ11" s="3"/>
      <c r="AK11" s="3"/>
      <c r="AL11" s="3"/>
      <c r="AM11" s="3"/>
      <c r="AN11" s="3"/>
      <c r="AO11" s="3"/>
      <c r="AP11" s="3"/>
      <c r="AQ11" s="3"/>
      <c r="AR11" s="3"/>
      <c r="AS11" s="3"/>
      <c r="AT11" s="3"/>
      <c r="AU11" s="3"/>
      <c r="AV11" s="3"/>
      <c r="AW11" s="3"/>
      <c r="AX11" s="3"/>
      <c r="AY11" s="3"/>
      <c r="AZ11" s="3"/>
      <c r="BA11" s="3"/>
      <c r="BB11" s="3"/>
      <c r="BC11" s="69"/>
      <c r="BD11" s="69"/>
      <c r="BE11" s="69"/>
      <c r="BF11" s="69"/>
      <c r="BG11" s="69"/>
      <c r="BH11" s="69"/>
      <c r="BI11" s="69"/>
      <c r="BJ11" s="69"/>
    </row>
    <row r="12" spans="1:62" x14ac:dyDescent="0.25">
      <c r="B12" s="3" t="s">
        <v>234</v>
      </c>
      <c r="C12" s="63" t="s">
        <v>468</v>
      </c>
      <c r="D12" s="3" t="s">
        <v>369</v>
      </c>
      <c r="E12" s="63" t="s">
        <v>210</v>
      </c>
      <c r="F12" s="63">
        <v>0</v>
      </c>
      <c r="G12" s="63">
        <v>12</v>
      </c>
      <c r="H12" s="63">
        <v>0</v>
      </c>
      <c r="I12" s="63">
        <v>16</v>
      </c>
      <c r="J12" s="3"/>
      <c r="L12" s="3"/>
      <c r="M12" s="3"/>
      <c r="N12" s="3"/>
      <c r="O12" s="3"/>
      <c r="P12" s="3"/>
      <c r="Q12" s="3"/>
      <c r="R12" s="3"/>
      <c r="S12" s="3"/>
      <c r="T12" s="3"/>
      <c r="U12" s="3"/>
      <c r="V12" s="3" t="s">
        <v>15</v>
      </c>
      <c r="W12" s="3"/>
      <c r="X12" s="3"/>
      <c r="Y12" s="3"/>
      <c r="Z12" s="3" t="s">
        <v>364</v>
      </c>
      <c r="AA12" s="3"/>
      <c r="AB12" s="3"/>
      <c r="AC12" s="3"/>
      <c r="AD12" s="69"/>
      <c r="AE12" s="3"/>
      <c r="AF12" s="3"/>
      <c r="AG12" s="3"/>
      <c r="AH12" s="3"/>
      <c r="AI12" s="3"/>
      <c r="AJ12" s="3"/>
      <c r="AK12" s="3"/>
      <c r="AL12" s="3"/>
      <c r="AM12" s="3"/>
      <c r="AN12" s="3"/>
      <c r="AO12" s="3"/>
      <c r="AP12" s="3"/>
      <c r="AQ12" s="3"/>
      <c r="AR12" s="69"/>
      <c r="AS12" s="69"/>
      <c r="AT12" s="3"/>
      <c r="AU12" s="3"/>
      <c r="AV12" s="3"/>
      <c r="AW12" s="3"/>
      <c r="AX12" s="3"/>
      <c r="AY12" s="3"/>
      <c r="AZ12" s="3"/>
      <c r="BA12" s="3"/>
      <c r="BB12" s="3"/>
      <c r="BC12" s="3"/>
      <c r="BD12" s="3"/>
      <c r="BE12" s="3"/>
      <c r="BF12" s="3"/>
      <c r="BG12" s="3"/>
      <c r="BH12" s="3"/>
      <c r="BI12" s="3"/>
      <c r="BJ12" s="3"/>
    </row>
    <row r="13" spans="1:62" x14ac:dyDescent="0.25">
      <c r="B13" s="3" t="s">
        <v>239</v>
      </c>
      <c r="C13" s="63" t="s">
        <v>468</v>
      </c>
      <c r="D13" s="3" t="s">
        <v>370</v>
      </c>
      <c r="E13" s="63" t="s">
        <v>210</v>
      </c>
      <c r="F13" s="63">
        <v>25</v>
      </c>
      <c r="G13" s="63">
        <v>12</v>
      </c>
      <c r="H13" s="63">
        <v>100</v>
      </c>
      <c r="I13" s="63">
        <v>12</v>
      </c>
      <c r="J13" s="3"/>
      <c r="L13" s="3"/>
      <c r="M13" s="3"/>
      <c r="N13" s="3"/>
      <c r="O13" s="3"/>
      <c r="P13" s="3"/>
      <c r="Q13" s="3"/>
      <c r="R13" s="3"/>
      <c r="S13" s="3"/>
      <c r="T13" s="3"/>
      <c r="U13" s="3"/>
      <c r="V13" s="3"/>
      <c r="W13" s="3"/>
      <c r="X13" s="3"/>
      <c r="Y13" s="3"/>
      <c r="Z13" s="3"/>
      <c r="AA13" s="3"/>
      <c r="AB13" s="3" t="s">
        <v>15</v>
      </c>
      <c r="AC13" s="3"/>
      <c r="AD13" s="3"/>
      <c r="AE13" s="3"/>
      <c r="AF13" s="3"/>
      <c r="AG13" s="3"/>
      <c r="AH13" s="69"/>
      <c r="AI13" s="69"/>
      <c r="AJ13" s="69"/>
      <c r="AK13" s="69"/>
      <c r="AL13" s="69"/>
      <c r="AM13" s="69"/>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B14" s="3" t="s">
        <v>244</v>
      </c>
      <c r="C14" s="63" t="s">
        <v>468</v>
      </c>
      <c r="D14" s="3" t="s">
        <v>371</v>
      </c>
      <c r="E14" s="63" t="s">
        <v>210</v>
      </c>
      <c r="F14" s="63">
        <v>0</v>
      </c>
      <c r="G14" s="63">
        <v>10</v>
      </c>
      <c r="H14" s="63">
        <v>117.143</v>
      </c>
      <c r="I14" s="63">
        <v>10</v>
      </c>
      <c r="J14" s="3"/>
      <c r="L14" s="3"/>
      <c r="M14" s="3"/>
      <c r="N14" s="3"/>
      <c r="O14" s="3"/>
      <c r="P14" s="3"/>
      <c r="Q14" s="3"/>
      <c r="R14" s="3"/>
      <c r="S14" s="3" t="s">
        <v>15</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B15" s="3" t="s">
        <v>249</v>
      </c>
      <c r="C15" s="63" t="s">
        <v>468</v>
      </c>
      <c r="D15" s="3" t="s">
        <v>372</v>
      </c>
      <c r="E15" s="63" t="s">
        <v>210</v>
      </c>
      <c r="F15" s="63">
        <v>117.143</v>
      </c>
      <c r="G15" s="63">
        <v>10</v>
      </c>
      <c r="H15" s="63">
        <v>159.643</v>
      </c>
      <c r="I15" s="63">
        <v>10</v>
      </c>
      <c r="J15" s="3"/>
      <c r="L15" s="3"/>
      <c r="M15" s="3"/>
      <c r="N15" s="3"/>
      <c r="O15" s="3"/>
      <c r="P15" s="3"/>
      <c r="Q15" s="3"/>
      <c r="R15" s="3"/>
      <c r="S15" s="3" t="s">
        <v>15</v>
      </c>
      <c r="T15" s="3"/>
      <c r="U15" s="3"/>
      <c r="V15" s="3"/>
      <c r="W15" s="3"/>
      <c r="X15" s="3"/>
      <c r="Y15" s="3"/>
      <c r="Z15" s="3"/>
      <c r="AA15" s="3"/>
      <c r="AB15" s="3"/>
      <c r="AC15" s="3"/>
      <c r="AD15" s="3"/>
      <c r="AE15" s="3"/>
      <c r="AF15" s="3"/>
      <c r="AG15" s="3"/>
      <c r="AH15" s="3"/>
      <c r="AI15" s="3"/>
      <c r="AJ15" s="3" t="s">
        <v>364</v>
      </c>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B16" s="3" t="s">
        <v>254</v>
      </c>
      <c r="C16" s="63" t="s">
        <v>468</v>
      </c>
      <c r="D16" s="3" t="s">
        <v>373</v>
      </c>
      <c r="E16" s="63" t="s">
        <v>210</v>
      </c>
      <c r="F16" s="63">
        <v>0</v>
      </c>
      <c r="G16" s="63">
        <v>7.5</v>
      </c>
      <c r="H16" s="63">
        <v>126.071</v>
      </c>
      <c r="I16" s="63">
        <v>7.5</v>
      </c>
      <c r="J16" s="3"/>
      <c r="L16" s="3"/>
      <c r="M16" s="3"/>
      <c r="N16" s="3"/>
      <c r="O16" s="3"/>
      <c r="P16" s="3"/>
      <c r="Q16" s="3" t="s">
        <v>15</v>
      </c>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2:62" x14ac:dyDescent="0.25">
      <c r="B17" s="3" t="s">
        <v>259</v>
      </c>
      <c r="C17" s="63" t="s">
        <v>468</v>
      </c>
      <c r="D17" s="3" t="s">
        <v>374</v>
      </c>
      <c r="E17" s="63" t="s">
        <v>210</v>
      </c>
      <c r="F17" s="63">
        <v>126.071</v>
      </c>
      <c r="G17" s="63">
        <v>7.5</v>
      </c>
      <c r="H17" s="63">
        <v>168.571</v>
      </c>
      <c r="I17" s="63">
        <v>7.5</v>
      </c>
      <c r="J17" s="3"/>
      <c r="L17" s="3"/>
      <c r="M17" s="3"/>
      <c r="N17" s="3"/>
      <c r="O17" s="3"/>
      <c r="P17" s="3"/>
      <c r="Q17" s="3" t="s">
        <v>15</v>
      </c>
      <c r="R17" s="3"/>
      <c r="S17" s="3"/>
      <c r="T17" s="3"/>
      <c r="U17" s="3"/>
      <c r="V17" s="3"/>
      <c r="W17" s="3"/>
      <c r="X17" s="3"/>
      <c r="Y17" s="3"/>
      <c r="Z17" s="3"/>
      <c r="AA17" s="3"/>
      <c r="AB17" s="3"/>
      <c r="AC17" s="3"/>
      <c r="AD17" s="3"/>
      <c r="AE17" s="3"/>
      <c r="AF17" s="3"/>
      <c r="AG17" s="3"/>
      <c r="AH17" s="3"/>
      <c r="AI17" s="3"/>
      <c r="AJ17" s="3" t="s">
        <v>364</v>
      </c>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2:62" x14ac:dyDescent="0.25">
      <c r="B18" s="3" t="s">
        <v>264</v>
      </c>
      <c r="C18" s="63" t="s">
        <v>468</v>
      </c>
      <c r="D18" s="3" t="s">
        <v>375</v>
      </c>
      <c r="E18" s="63" t="s">
        <v>210</v>
      </c>
      <c r="F18" s="63">
        <v>135</v>
      </c>
      <c r="G18" s="63">
        <v>5</v>
      </c>
      <c r="H18" s="63">
        <v>177.5</v>
      </c>
      <c r="I18" s="63">
        <v>5</v>
      </c>
      <c r="J18" s="3"/>
      <c r="L18" s="3"/>
      <c r="M18" s="3"/>
      <c r="N18" s="3"/>
      <c r="O18" s="3" t="s">
        <v>15</v>
      </c>
      <c r="P18" s="3"/>
      <c r="Q18" s="3"/>
      <c r="R18" s="3"/>
      <c r="S18" s="3"/>
      <c r="T18" s="3"/>
      <c r="U18" s="3"/>
      <c r="V18" s="3"/>
      <c r="W18" s="3"/>
      <c r="X18" s="3"/>
      <c r="Y18" s="3"/>
      <c r="Z18" s="3"/>
      <c r="AA18" s="3"/>
      <c r="AB18" s="3"/>
      <c r="AC18" s="3"/>
      <c r="AD18" s="3"/>
      <c r="AE18" s="3"/>
      <c r="AF18" s="3"/>
      <c r="AG18" s="3"/>
      <c r="AH18" s="3"/>
      <c r="AI18" s="3"/>
      <c r="AJ18" s="3" t="s">
        <v>364</v>
      </c>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2:62" x14ac:dyDescent="0.25">
      <c r="B19" s="3" t="s">
        <v>269</v>
      </c>
      <c r="C19" s="63" t="s">
        <v>468</v>
      </c>
      <c r="D19" s="3" t="s">
        <v>376</v>
      </c>
      <c r="E19" s="63" t="s">
        <v>210</v>
      </c>
      <c r="F19" s="63">
        <v>0</v>
      </c>
      <c r="G19" s="63">
        <v>5</v>
      </c>
      <c r="H19" s="63">
        <v>8.9290000000000003</v>
      </c>
      <c r="I19" s="63">
        <v>5</v>
      </c>
      <c r="J19" s="3"/>
      <c r="L19" s="3"/>
      <c r="M19" s="3"/>
      <c r="N19" s="3"/>
      <c r="O19" s="3" t="s">
        <v>15</v>
      </c>
      <c r="P19" s="3"/>
      <c r="Q19" s="3"/>
      <c r="R19" s="3"/>
      <c r="S19" s="3"/>
      <c r="T19" s="3"/>
      <c r="U19" s="3"/>
      <c r="V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2:62" x14ac:dyDescent="0.25">
      <c r="B20" s="3" t="s">
        <v>511</v>
      </c>
      <c r="C20" s="63" t="s">
        <v>275</v>
      </c>
      <c r="D20" s="3" t="s">
        <v>377</v>
      </c>
      <c r="E20" s="63" t="s">
        <v>275</v>
      </c>
      <c r="F20" s="63">
        <v>0</v>
      </c>
      <c r="G20" s="63">
        <v>5</v>
      </c>
      <c r="H20" s="63">
        <v>0</v>
      </c>
      <c r="I20" s="63">
        <v>1</v>
      </c>
      <c r="J20" s="3"/>
      <c r="L20" s="3"/>
      <c r="M20" s="3"/>
      <c r="N20" s="3"/>
      <c r="O20" s="3"/>
      <c r="P20" s="3"/>
      <c r="Q20" s="3"/>
      <c r="R20" s="3"/>
      <c r="S20" s="3"/>
      <c r="T20" s="3"/>
      <c r="U20" s="3" t="s">
        <v>15</v>
      </c>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2:62" x14ac:dyDescent="0.25">
      <c r="B21" s="3" t="s">
        <v>479</v>
      </c>
      <c r="C21" s="63" t="s">
        <v>275</v>
      </c>
      <c r="D21" s="3" t="s">
        <v>378</v>
      </c>
      <c r="E21" s="63" t="s">
        <v>275</v>
      </c>
      <c r="F21" s="63">
        <v>157.203</v>
      </c>
      <c r="G21" s="63">
        <v>-7</v>
      </c>
      <c r="H21" s="63">
        <v>184</v>
      </c>
      <c r="I21" s="63">
        <v>5</v>
      </c>
      <c r="J21" s="3"/>
      <c r="L21" s="3"/>
      <c r="M21" s="3" t="s">
        <v>364</v>
      </c>
      <c r="N21" s="3" t="s">
        <v>15</v>
      </c>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2:62" x14ac:dyDescent="0.25">
      <c r="B22" s="3" t="s">
        <v>512</v>
      </c>
      <c r="C22" s="63" t="s">
        <v>275</v>
      </c>
      <c r="D22" s="3" t="s">
        <v>379</v>
      </c>
      <c r="E22" s="63" t="s">
        <v>275</v>
      </c>
      <c r="F22" s="63">
        <v>0</v>
      </c>
      <c r="G22" s="63">
        <v>1</v>
      </c>
      <c r="H22" s="63">
        <v>0</v>
      </c>
      <c r="I22" s="63">
        <v>-6</v>
      </c>
      <c r="J22" s="3"/>
      <c r="L22" s="3"/>
      <c r="M22" s="3"/>
      <c r="N22" s="3"/>
      <c r="O22" s="3"/>
      <c r="P22" s="3"/>
      <c r="Q22" s="3"/>
      <c r="R22" s="3"/>
      <c r="S22" s="3"/>
      <c r="T22" s="3"/>
      <c r="U22" s="3" t="s">
        <v>15</v>
      </c>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2:62" x14ac:dyDescent="0.25">
      <c r="B23" s="3" t="s">
        <v>513</v>
      </c>
      <c r="C23" s="63" t="s">
        <v>275</v>
      </c>
      <c r="D23" s="3" t="s">
        <v>380</v>
      </c>
      <c r="E23" s="63" t="s">
        <v>275</v>
      </c>
      <c r="F23" s="63">
        <v>0</v>
      </c>
      <c r="G23" s="63">
        <v>-15</v>
      </c>
      <c r="H23" s="63">
        <v>0</v>
      </c>
      <c r="I23" s="63">
        <v>-6</v>
      </c>
      <c r="J23" s="3"/>
      <c r="L23" s="3"/>
      <c r="M23" s="3"/>
      <c r="N23" s="3"/>
      <c r="O23" s="3"/>
      <c r="P23" s="3"/>
      <c r="Q23" s="3"/>
      <c r="R23" s="3"/>
      <c r="S23" s="3"/>
      <c r="T23" s="3"/>
      <c r="U23" s="3" t="s">
        <v>15</v>
      </c>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2:62" x14ac:dyDescent="0.25">
      <c r="B24" s="3" t="s">
        <v>514</v>
      </c>
      <c r="C24" s="63" t="s">
        <v>154</v>
      </c>
      <c r="D24" s="3" t="s">
        <v>381</v>
      </c>
      <c r="E24" s="63" t="s">
        <v>154</v>
      </c>
      <c r="F24" s="63">
        <v>73.153000000000006</v>
      </c>
      <c r="G24" s="63">
        <v>20</v>
      </c>
      <c r="H24" s="63">
        <v>75.33</v>
      </c>
      <c r="I24" s="63">
        <v>21.5</v>
      </c>
      <c r="J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t="s">
        <v>15</v>
      </c>
      <c r="AN24" s="3"/>
      <c r="AO24" s="3"/>
      <c r="AP24" s="3"/>
      <c r="AQ24" s="3"/>
      <c r="AR24" s="3"/>
      <c r="AS24" s="3"/>
      <c r="AT24" s="3"/>
      <c r="AU24" s="3"/>
      <c r="AV24" s="3"/>
      <c r="AW24" s="3"/>
      <c r="AX24" s="3"/>
      <c r="AY24" s="3"/>
      <c r="AZ24" s="3"/>
      <c r="BA24" s="3"/>
      <c r="BB24" s="3"/>
      <c r="BC24" s="3"/>
      <c r="BD24" s="3"/>
      <c r="BE24" s="3"/>
      <c r="BF24" s="3"/>
      <c r="BG24" s="3"/>
      <c r="BH24" s="3"/>
      <c r="BI24" s="3"/>
      <c r="BJ24" s="3"/>
    </row>
    <row r="25" spans="2:62" x14ac:dyDescent="0.25">
      <c r="B25" s="3" t="s">
        <v>515</v>
      </c>
      <c r="C25" s="63" t="s">
        <v>154</v>
      </c>
      <c r="D25" s="3" t="s">
        <v>382</v>
      </c>
      <c r="E25" s="63" t="s">
        <v>154</v>
      </c>
      <c r="F25" s="63">
        <v>73.153000000000006</v>
      </c>
      <c r="G25" s="63">
        <v>20</v>
      </c>
      <c r="H25" s="63">
        <v>75.33</v>
      </c>
      <c r="I25" s="63">
        <v>21.5</v>
      </c>
      <c r="J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t="s">
        <v>15</v>
      </c>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2:62" x14ac:dyDescent="0.25">
      <c r="B26" s="3" t="s">
        <v>211</v>
      </c>
      <c r="C26" s="63" t="s">
        <v>469</v>
      </c>
      <c r="D26" s="3" t="s">
        <v>383</v>
      </c>
      <c r="E26" s="63" t="s">
        <v>212</v>
      </c>
      <c r="F26" s="63">
        <v>1</v>
      </c>
      <c r="G26" s="63">
        <v>5</v>
      </c>
      <c r="H26" s="63">
        <v>1</v>
      </c>
      <c r="I26" s="63">
        <v>-15</v>
      </c>
      <c r="J26" s="3"/>
      <c r="L26" s="3"/>
      <c r="M26" s="3"/>
      <c r="N26" s="3"/>
      <c r="O26" s="3"/>
      <c r="P26" s="3"/>
      <c r="Q26" s="3"/>
      <c r="R26" s="3"/>
      <c r="S26" s="3"/>
      <c r="T26" s="3"/>
      <c r="U26" s="3" t="s">
        <v>15</v>
      </c>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2:62" x14ac:dyDescent="0.25">
      <c r="B27" s="3" t="s">
        <v>213</v>
      </c>
      <c r="C27" s="63" t="s">
        <v>469</v>
      </c>
      <c r="D27" s="3" t="s">
        <v>384</v>
      </c>
      <c r="E27" s="63" t="s">
        <v>212</v>
      </c>
      <c r="F27" s="63">
        <v>2</v>
      </c>
      <c r="G27" s="63">
        <v>5</v>
      </c>
      <c r="H27" s="63">
        <v>2</v>
      </c>
      <c r="I27" s="63">
        <v>-15</v>
      </c>
      <c r="J27" s="3"/>
      <c r="L27" s="3"/>
      <c r="M27" s="3"/>
      <c r="N27" s="3"/>
      <c r="O27" s="3"/>
      <c r="P27" s="3"/>
      <c r="Q27" s="3"/>
      <c r="R27" s="3"/>
      <c r="S27" s="3"/>
      <c r="T27" s="3"/>
      <c r="U27" s="3" t="s">
        <v>15</v>
      </c>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2:62" x14ac:dyDescent="0.25">
      <c r="B28" s="3" t="s">
        <v>214</v>
      </c>
      <c r="C28" s="3" t="s">
        <v>469</v>
      </c>
      <c r="D28" s="3" t="s">
        <v>385</v>
      </c>
      <c r="E28" s="3" t="s">
        <v>212</v>
      </c>
      <c r="F28" s="3">
        <v>3</v>
      </c>
      <c r="G28" s="3">
        <v>5</v>
      </c>
      <c r="H28" s="3">
        <v>3</v>
      </c>
      <c r="I28" s="3">
        <v>-15</v>
      </c>
      <c r="J28" s="3"/>
      <c r="L28" s="3"/>
      <c r="M28" s="3"/>
      <c r="N28" s="3"/>
      <c r="O28" s="3"/>
      <c r="P28" s="3"/>
      <c r="Q28" s="3"/>
      <c r="R28" s="3"/>
      <c r="S28" s="3"/>
      <c r="T28" s="3"/>
      <c r="U28" s="3" t="s">
        <v>15</v>
      </c>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2:62" x14ac:dyDescent="0.25">
      <c r="B29" s="3" t="s">
        <v>215</v>
      </c>
      <c r="C29" s="3" t="s">
        <v>469</v>
      </c>
      <c r="D29" s="3" t="s">
        <v>386</v>
      </c>
      <c r="E29" s="3" t="s">
        <v>212</v>
      </c>
      <c r="F29" s="3">
        <v>4</v>
      </c>
      <c r="G29" s="3">
        <v>5</v>
      </c>
      <c r="H29" s="3">
        <v>4</v>
      </c>
      <c r="I29" s="3">
        <v>-15</v>
      </c>
      <c r="J29" s="3"/>
      <c r="L29" s="3"/>
      <c r="M29" s="3"/>
      <c r="N29" s="3"/>
      <c r="O29" s="3"/>
      <c r="P29" s="3"/>
      <c r="Q29" s="3"/>
      <c r="R29" s="3"/>
      <c r="S29" s="3"/>
      <c r="T29" s="3"/>
      <c r="U29" s="3" t="s">
        <v>15</v>
      </c>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2:62" x14ac:dyDescent="0.25">
      <c r="B30" s="3" t="s">
        <v>219</v>
      </c>
      <c r="C30" s="3" t="s">
        <v>469</v>
      </c>
      <c r="D30" s="3" t="s">
        <v>387</v>
      </c>
      <c r="E30" s="3" t="s">
        <v>212</v>
      </c>
      <c r="F30" s="3">
        <v>5</v>
      </c>
      <c r="G30" s="3">
        <v>5</v>
      </c>
      <c r="H30" s="3">
        <v>5</v>
      </c>
      <c r="I30" s="3">
        <v>-15</v>
      </c>
      <c r="J30" s="3"/>
      <c r="L30" s="3"/>
      <c r="M30" s="3"/>
      <c r="N30" s="3"/>
      <c r="O30" s="3"/>
      <c r="P30" s="3"/>
      <c r="Q30" s="3"/>
      <c r="R30" s="3"/>
      <c r="S30" s="3"/>
      <c r="T30" s="3"/>
      <c r="U30" s="3" t="s">
        <v>15</v>
      </c>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2:62" x14ac:dyDescent="0.25">
      <c r="B31" s="3" t="s">
        <v>221</v>
      </c>
      <c r="C31" s="3" t="s">
        <v>469</v>
      </c>
      <c r="D31" s="3" t="s">
        <v>388</v>
      </c>
      <c r="E31" s="3" t="s">
        <v>212</v>
      </c>
      <c r="F31" s="3">
        <v>6</v>
      </c>
      <c r="G31" s="3">
        <v>5</v>
      </c>
      <c r="H31" s="3">
        <v>6</v>
      </c>
      <c r="I31" s="3">
        <v>-15</v>
      </c>
      <c r="J31" s="3"/>
      <c r="L31" s="3"/>
      <c r="M31" s="3"/>
      <c r="N31" s="3"/>
      <c r="O31" s="3"/>
      <c r="P31" s="3"/>
      <c r="Q31" s="3"/>
      <c r="R31" s="3"/>
      <c r="S31" s="3"/>
      <c r="T31" s="3"/>
      <c r="U31" s="3" t="s">
        <v>15</v>
      </c>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2:62" x14ac:dyDescent="0.25">
      <c r="B32" s="3" t="s">
        <v>222</v>
      </c>
      <c r="C32" s="3" t="s">
        <v>469</v>
      </c>
      <c r="D32" s="3" t="s">
        <v>389</v>
      </c>
      <c r="E32" s="3" t="s">
        <v>212</v>
      </c>
      <c r="F32" s="3">
        <v>7</v>
      </c>
      <c r="G32" s="3">
        <v>5</v>
      </c>
      <c r="H32" s="3">
        <v>7</v>
      </c>
      <c r="I32" s="3">
        <v>-15</v>
      </c>
      <c r="J32" s="3"/>
      <c r="L32" s="3"/>
      <c r="M32" s="3"/>
      <c r="N32" s="3"/>
      <c r="O32" s="3"/>
      <c r="P32" s="3"/>
      <c r="Q32" s="3"/>
      <c r="R32" s="3"/>
      <c r="S32" s="3"/>
      <c r="T32" s="3"/>
      <c r="U32" s="3" t="s">
        <v>15</v>
      </c>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2:62" x14ac:dyDescent="0.25">
      <c r="B33" s="3" t="s">
        <v>223</v>
      </c>
      <c r="C33" s="3" t="s">
        <v>469</v>
      </c>
      <c r="D33" s="3" t="s">
        <v>390</v>
      </c>
      <c r="E33" s="3" t="s">
        <v>212</v>
      </c>
      <c r="F33" s="3">
        <v>8</v>
      </c>
      <c r="G33" s="3">
        <v>5</v>
      </c>
      <c r="H33" s="3">
        <v>8</v>
      </c>
      <c r="I33" s="3">
        <v>-15</v>
      </c>
      <c r="J33" s="3"/>
      <c r="L33" s="3"/>
      <c r="M33" s="3"/>
      <c r="N33" s="3"/>
      <c r="O33" s="3"/>
      <c r="P33" s="3"/>
      <c r="Q33" s="3"/>
      <c r="R33" s="3"/>
      <c r="S33" s="3"/>
      <c r="T33" s="3"/>
      <c r="U33" s="3" t="s">
        <v>15</v>
      </c>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2:62" x14ac:dyDescent="0.25">
      <c r="B34" s="3" t="s">
        <v>225</v>
      </c>
      <c r="C34" s="3" t="s">
        <v>469</v>
      </c>
      <c r="D34" s="3" t="s">
        <v>391</v>
      </c>
      <c r="E34" s="3" t="s">
        <v>212</v>
      </c>
      <c r="F34" s="3">
        <v>9</v>
      </c>
      <c r="G34" s="3">
        <v>5</v>
      </c>
      <c r="H34" s="3">
        <v>9</v>
      </c>
      <c r="I34" s="3">
        <v>-15</v>
      </c>
      <c r="J34" s="3"/>
      <c r="L34" s="3"/>
      <c r="M34" s="3"/>
      <c r="N34" s="3"/>
      <c r="O34" s="3"/>
      <c r="P34" s="3"/>
      <c r="Q34" s="3"/>
      <c r="R34" s="3"/>
      <c r="S34" s="3"/>
      <c r="T34" s="3"/>
      <c r="U34" s="3" t="s">
        <v>15</v>
      </c>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2:62" x14ac:dyDescent="0.25">
      <c r="B35" s="3" t="s">
        <v>226</v>
      </c>
      <c r="C35" s="3" t="s">
        <v>469</v>
      </c>
      <c r="D35" s="3" t="s">
        <v>392</v>
      </c>
      <c r="E35" s="3" t="s">
        <v>212</v>
      </c>
      <c r="F35" s="3">
        <v>10</v>
      </c>
      <c r="G35" s="3">
        <v>5</v>
      </c>
      <c r="H35" s="3">
        <v>10</v>
      </c>
      <c r="I35" s="3">
        <v>-15</v>
      </c>
      <c r="J35" s="3"/>
      <c r="L35" s="3"/>
      <c r="M35" s="3"/>
      <c r="N35" s="3"/>
      <c r="O35" s="3"/>
      <c r="P35" s="3"/>
      <c r="Q35" s="3"/>
      <c r="R35" s="3"/>
      <c r="S35" s="3"/>
      <c r="T35" s="3"/>
      <c r="U35" s="3" t="s">
        <v>15</v>
      </c>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2:62" x14ac:dyDescent="0.25">
      <c r="B36" s="3" t="s">
        <v>227</v>
      </c>
      <c r="C36" s="3" t="s">
        <v>469</v>
      </c>
      <c r="D36" s="3" t="s">
        <v>393</v>
      </c>
      <c r="E36" s="3" t="s">
        <v>212</v>
      </c>
      <c r="F36" s="3">
        <v>11</v>
      </c>
      <c r="G36" s="3">
        <v>5</v>
      </c>
      <c r="H36" s="3">
        <v>11</v>
      </c>
      <c r="I36" s="3">
        <v>-15</v>
      </c>
      <c r="J36" s="3"/>
      <c r="L36" s="3"/>
      <c r="M36" s="3"/>
      <c r="N36" s="3"/>
      <c r="O36" s="3"/>
      <c r="P36" s="3"/>
      <c r="Q36" s="3"/>
      <c r="R36" s="3"/>
      <c r="S36" s="3"/>
      <c r="T36" s="3"/>
      <c r="U36" s="3" t="s">
        <v>15</v>
      </c>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2:62" x14ac:dyDescent="0.25">
      <c r="B37" s="3" t="s">
        <v>228</v>
      </c>
      <c r="C37" s="3" t="s">
        <v>469</v>
      </c>
      <c r="D37" s="3" t="s">
        <v>394</v>
      </c>
      <c r="E37" s="3" t="s">
        <v>212</v>
      </c>
      <c r="F37" s="3">
        <v>12</v>
      </c>
      <c r="G37" s="3">
        <v>5</v>
      </c>
      <c r="H37" s="3">
        <v>12</v>
      </c>
      <c r="I37" s="3">
        <v>-15</v>
      </c>
      <c r="J37" s="3"/>
      <c r="L37" s="3"/>
      <c r="M37" s="3"/>
      <c r="N37" s="3"/>
      <c r="O37" s="3"/>
      <c r="P37" s="3"/>
      <c r="Q37" s="3"/>
      <c r="R37" s="3"/>
      <c r="S37" s="3"/>
      <c r="T37" s="3"/>
      <c r="U37" s="3" t="s">
        <v>15</v>
      </c>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2:62" x14ac:dyDescent="0.25">
      <c r="B38" s="3" t="s">
        <v>230</v>
      </c>
      <c r="C38" s="3" t="s">
        <v>469</v>
      </c>
      <c r="D38" s="3" t="s">
        <v>395</v>
      </c>
      <c r="E38" s="3" t="s">
        <v>212</v>
      </c>
      <c r="F38" s="3">
        <v>13</v>
      </c>
      <c r="G38" s="3">
        <v>5</v>
      </c>
      <c r="H38" s="3">
        <v>13</v>
      </c>
      <c r="I38" s="3">
        <v>-15</v>
      </c>
      <c r="J38" s="3"/>
      <c r="L38" s="3"/>
      <c r="M38" s="3"/>
      <c r="N38" s="3"/>
      <c r="O38" s="3"/>
      <c r="P38" s="3"/>
      <c r="Q38" s="3"/>
      <c r="R38" s="3"/>
      <c r="S38" s="3"/>
      <c r="T38" s="3"/>
      <c r="U38" s="3" t="s">
        <v>15</v>
      </c>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2:62" x14ac:dyDescent="0.25">
      <c r="B39" s="3" t="s">
        <v>231</v>
      </c>
      <c r="C39" s="3" t="s">
        <v>469</v>
      </c>
      <c r="D39" s="3" t="s">
        <v>396</v>
      </c>
      <c r="E39" s="3" t="s">
        <v>212</v>
      </c>
      <c r="F39" s="3">
        <v>14</v>
      </c>
      <c r="G39" s="3">
        <v>5</v>
      </c>
      <c r="H39" s="3">
        <v>14</v>
      </c>
      <c r="I39" s="3">
        <v>-15</v>
      </c>
      <c r="J39" s="3"/>
      <c r="L39" s="3"/>
      <c r="M39" s="3"/>
      <c r="N39" s="3"/>
      <c r="O39" s="3"/>
      <c r="P39" s="3"/>
      <c r="Q39" s="3"/>
      <c r="R39" s="3"/>
      <c r="S39" s="3"/>
      <c r="T39" s="3"/>
      <c r="U39" s="3" t="s">
        <v>15</v>
      </c>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2:62" x14ac:dyDescent="0.25">
      <c r="B40" s="3" t="s">
        <v>232</v>
      </c>
      <c r="C40" s="3" t="s">
        <v>469</v>
      </c>
      <c r="D40" s="3" t="s">
        <v>397</v>
      </c>
      <c r="E40" s="3" t="s">
        <v>212</v>
      </c>
      <c r="F40" s="3">
        <v>15</v>
      </c>
      <c r="G40" s="3">
        <v>5</v>
      </c>
      <c r="H40" s="3">
        <v>15</v>
      </c>
      <c r="I40" s="3">
        <v>-15</v>
      </c>
      <c r="J40" s="3"/>
      <c r="L40" s="3"/>
      <c r="M40" s="3"/>
      <c r="N40" s="3"/>
      <c r="O40" s="3"/>
      <c r="P40" s="3"/>
      <c r="Q40" s="3"/>
      <c r="R40" s="3"/>
      <c r="S40" s="3"/>
      <c r="T40" s="3"/>
      <c r="U40" s="3" t="s">
        <v>15</v>
      </c>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2:62" x14ac:dyDescent="0.25">
      <c r="B41" s="3" t="s">
        <v>233</v>
      </c>
      <c r="C41" s="3" t="s">
        <v>469</v>
      </c>
      <c r="D41" s="3" t="s">
        <v>398</v>
      </c>
      <c r="E41" s="3" t="s">
        <v>212</v>
      </c>
      <c r="F41" s="3">
        <v>16</v>
      </c>
      <c r="G41" s="3">
        <v>5</v>
      </c>
      <c r="H41" s="3">
        <v>16</v>
      </c>
      <c r="I41" s="3">
        <v>-15</v>
      </c>
      <c r="J41" s="3"/>
      <c r="L41" s="3"/>
      <c r="M41" s="3"/>
      <c r="N41" s="3"/>
      <c r="O41" s="3"/>
      <c r="P41" s="3"/>
      <c r="Q41" s="3"/>
      <c r="R41" s="3"/>
      <c r="S41" s="3"/>
      <c r="T41" s="3"/>
      <c r="U41" s="3" t="s">
        <v>15</v>
      </c>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2:62" x14ac:dyDescent="0.25">
      <c r="B42" s="3" t="s">
        <v>235</v>
      </c>
      <c r="C42" s="3" t="s">
        <v>469</v>
      </c>
      <c r="D42" s="3" t="s">
        <v>399</v>
      </c>
      <c r="E42" s="3" t="s">
        <v>212</v>
      </c>
      <c r="F42" s="3">
        <v>17</v>
      </c>
      <c r="G42" s="3">
        <v>5</v>
      </c>
      <c r="H42" s="3">
        <v>17</v>
      </c>
      <c r="I42" s="3">
        <v>-15</v>
      </c>
      <c r="J42" s="3"/>
      <c r="L42" s="3"/>
      <c r="M42" s="3"/>
      <c r="N42" s="3"/>
      <c r="O42" s="3"/>
      <c r="P42" s="3"/>
      <c r="Q42" s="3"/>
      <c r="R42" s="3"/>
      <c r="S42" s="3"/>
      <c r="T42" s="3"/>
      <c r="U42" s="3" t="s">
        <v>15</v>
      </c>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2:62" x14ac:dyDescent="0.25">
      <c r="B43" s="3" t="s">
        <v>236</v>
      </c>
      <c r="C43" s="3" t="s">
        <v>469</v>
      </c>
      <c r="D43" s="3" t="s">
        <v>400</v>
      </c>
      <c r="E43" s="3" t="s">
        <v>212</v>
      </c>
      <c r="F43" s="3">
        <v>18</v>
      </c>
      <c r="G43" s="3">
        <v>5</v>
      </c>
      <c r="H43" s="3">
        <v>18</v>
      </c>
      <c r="I43" s="3">
        <v>-15</v>
      </c>
      <c r="J43" s="3"/>
      <c r="L43" s="3"/>
      <c r="M43" s="3"/>
      <c r="N43" s="3"/>
      <c r="O43" s="3"/>
      <c r="P43" s="3"/>
      <c r="Q43" s="3"/>
      <c r="R43" s="3"/>
      <c r="S43" s="3"/>
      <c r="T43" s="3"/>
      <c r="U43" s="3" t="s">
        <v>15</v>
      </c>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2:62" x14ac:dyDescent="0.25">
      <c r="B44" s="3" t="s">
        <v>237</v>
      </c>
      <c r="C44" s="3" t="s">
        <v>469</v>
      </c>
      <c r="D44" s="3" t="s">
        <v>401</v>
      </c>
      <c r="E44" s="3" t="s">
        <v>212</v>
      </c>
      <c r="F44" s="3">
        <v>19</v>
      </c>
      <c r="G44" s="3">
        <v>5</v>
      </c>
      <c r="H44" s="3">
        <v>19</v>
      </c>
      <c r="I44" s="3">
        <v>-15</v>
      </c>
      <c r="J44" s="3"/>
      <c r="L44" s="3"/>
      <c r="M44" s="3"/>
      <c r="N44" s="3"/>
      <c r="O44" s="3"/>
      <c r="P44" s="3"/>
      <c r="Q44" s="3"/>
      <c r="R44" s="3"/>
      <c r="S44" s="3"/>
      <c r="T44" s="3"/>
      <c r="U44" s="3" t="s">
        <v>15</v>
      </c>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2:62" x14ac:dyDescent="0.25">
      <c r="B45" s="3" t="s">
        <v>238</v>
      </c>
      <c r="C45" s="3" t="s">
        <v>469</v>
      </c>
      <c r="D45" s="3" t="s">
        <v>402</v>
      </c>
      <c r="E45" s="3" t="s">
        <v>212</v>
      </c>
      <c r="F45" s="3">
        <v>20</v>
      </c>
      <c r="G45" s="3">
        <v>5</v>
      </c>
      <c r="H45" s="3">
        <v>20</v>
      </c>
      <c r="I45" s="3">
        <v>-15</v>
      </c>
      <c r="J45" s="3"/>
      <c r="L45" s="3"/>
      <c r="M45" s="3"/>
      <c r="N45" s="3"/>
      <c r="O45" s="3"/>
      <c r="P45" s="3"/>
      <c r="Q45" s="3"/>
      <c r="R45" s="3"/>
      <c r="S45" s="3"/>
      <c r="T45" s="3"/>
      <c r="U45" s="3" t="s">
        <v>15</v>
      </c>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2:62" x14ac:dyDescent="0.25">
      <c r="B46" s="3" t="s">
        <v>240</v>
      </c>
      <c r="C46" s="3" t="s">
        <v>469</v>
      </c>
      <c r="D46" s="3" t="s">
        <v>403</v>
      </c>
      <c r="E46" s="3" t="s">
        <v>212</v>
      </c>
      <c r="F46" s="3">
        <v>21</v>
      </c>
      <c r="G46" s="3">
        <v>5</v>
      </c>
      <c r="H46" s="3">
        <v>21</v>
      </c>
      <c r="I46" s="3">
        <v>-15</v>
      </c>
      <c r="J46" s="3"/>
      <c r="L46" s="3"/>
      <c r="M46" s="3"/>
      <c r="N46" s="3"/>
      <c r="O46" s="3"/>
      <c r="P46" s="3"/>
      <c r="Q46" s="3"/>
      <c r="R46" s="3"/>
      <c r="S46" s="3"/>
      <c r="T46" s="3"/>
      <c r="U46" s="3" t="s">
        <v>15</v>
      </c>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2:62" x14ac:dyDescent="0.25">
      <c r="B47" s="3" t="s">
        <v>241</v>
      </c>
      <c r="C47" s="3" t="s">
        <v>469</v>
      </c>
      <c r="D47" s="3" t="s">
        <v>404</v>
      </c>
      <c r="E47" s="3" t="s">
        <v>212</v>
      </c>
      <c r="F47" s="3">
        <v>22</v>
      </c>
      <c r="G47" s="3">
        <v>5</v>
      </c>
      <c r="H47" s="3">
        <v>22</v>
      </c>
      <c r="I47" s="3">
        <v>-15</v>
      </c>
      <c r="J47" s="3"/>
      <c r="L47" s="3"/>
      <c r="M47" s="3"/>
      <c r="N47" s="3"/>
      <c r="O47" s="3"/>
      <c r="P47" s="3"/>
      <c r="Q47" s="3"/>
      <c r="R47" s="3"/>
      <c r="S47" s="3"/>
      <c r="T47" s="3"/>
      <c r="U47" s="3" t="s">
        <v>15</v>
      </c>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2:62" x14ac:dyDescent="0.25">
      <c r="B48" s="3" t="s">
        <v>242</v>
      </c>
      <c r="C48" s="3" t="s">
        <v>469</v>
      </c>
      <c r="D48" s="3" t="s">
        <v>405</v>
      </c>
      <c r="E48" s="3" t="s">
        <v>212</v>
      </c>
      <c r="F48" s="3">
        <v>23</v>
      </c>
      <c r="G48" s="3">
        <v>5</v>
      </c>
      <c r="H48" s="3">
        <v>23</v>
      </c>
      <c r="I48" s="3">
        <v>-15</v>
      </c>
      <c r="J48" s="3"/>
      <c r="L48" s="3"/>
      <c r="M48" s="3"/>
      <c r="N48" s="3"/>
      <c r="O48" s="3"/>
      <c r="P48" s="3"/>
      <c r="Q48" s="3"/>
      <c r="R48" s="3"/>
      <c r="S48" s="3"/>
      <c r="T48" s="3"/>
      <c r="U48" s="3" t="s">
        <v>15</v>
      </c>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1:62" x14ac:dyDescent="0.25">
      <c r="B49" s="3" t="s">
        <v>243</v>
      </c>
      <c r="C49" s="3" t="s">
        <v>469</v>
      </c>
      <c r="D49" s="3" t="s">
        <v>406</v>
      </c>
      <c r="E49" s="3" t="s">
        <v>212</v>
      </c>
      <c r="F49" s="3">
        <v>24</v>
      </c>
      <c r="G49" s="3">
        <v>5</v>
      </c>
      <c r="H49" s="3">
        <v>24</v>
      </c>
      <c r="I49" s="3">
        <v>-15</v>
      </c>
      <c r="J49" s="3"/>
      <c r="L49" s="3"/>
      <c r="M49" s="3"/>
      <c r="N49" s="3"/>
      <c r="O49" s="3"/>
      <c r="P49" s="3"/>
      <c r="Q49" s="3"/>
      <c r="R49" s="3"/>
      <c r="S49" s="3"/>
      <c r="T49" s="3"/>
      <c r="U49" s="3" t="s">
        <v>15</v>
      </c>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1:62" x14ac:dyDescent="0.25">
      <c r="B50" s="3" t="s">
        <v>245</v>
      </c>
      <c r="C50" s="3" t="s">
        <v>469</v>
      </c>
      <c r="D50" s="3" t="s">
        <v>407</v>
      </c>
      <c r="E50" s="3" t="s">
        <v>212</v>
      </c>
      <c r="F50" s="3">
        <v>25</v>
      </c>
      <c r="G50" s="3">
        <v>5</v>
      </c>
      <c r="H50" s="3">
        <v>25</v>
      </c>
      <c r="I50" s="3">
        <v>-15</v>
      </c>
      <c r="J50" s="3"/>
      <c r="L50" s="3"/>
      <c r="M50" s="3"/>
      <c r="N50" s="3"/>
      <c r="O50" s="3"/>
      <c r="P50" s="3"/>
      <c r="Q50" s="3"/>
      <c r="R50" s="3"/>
      <c r="S50" s="3"/>
      <c r="T50" s="3"/>
      <c r="U50" s="3" t="s">
        <v>15</v>
      </c>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1:62" x14ac:dyDescent="0.25">
      <c r="B51" s="3" t="s">
        <v>246</v>
      </c>
      <c r="C51" s="3" t="s">
        <v>469</v>
      </c>
      <c r="D51" s="3" t="s">
        <v>408</v>
      </c>
      <c r="E51" s="3" t="s">
        <v>212</v>
      </c>
      <c r="F51" s="3">
        <v>26</v>
      </c>
      <c r="G51" s="3">
        <v>5</v>
      </c>
      <c r="H51" s="3">
        <v>26</v>
      </c>
      <c r="I51" s="3">
        <v>-15</v>
      </c>
      <c r="J51" s="3"/>
      <c r="L51" s="3"/>
      <c r="M51" s="3"/>
      <c r="N51" s="3"/>
      <c r="O51" s="3"/>
      <c r="P51" s="3"/>
      <c r="Q51" s="3"/>
      <c r="R51" s="3"/>
      <c r="S51" s="3"/>
      <c r="T51" s="3"/>
      <c r="U51" s="3" t="s">
        <v>15</v>
      </c>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1:62" x14ac:dyDescent="0.25">
      <c r="B52" s="3" t="s">
        <v>247</v>
      </c>
      <c r="C52" s="3" t="s">
        <v>469</v>
      </c>
      <c r="D52" s="3" t="s">
        <v>409</v>
      </c>
      <c r="E52" s="3" t="s">
        <v>212</v>
      </c>
      <c r="F52" s="3">
        <v>27</v>
      </c>
      <c r="G52" s="3">
        <v>5</v>
      </c>
      <c r="H52" s="3">
        <v>27</v>
      </c>
      <c r="I52" s="3">
        <v>-15</v>
      </c>
      <c r="J52" s="3"/>
      <c r="L52" s="3"/>
      <c r="M52" s="3"/>
      <c r="N52" s="3"/>
      <c r="O52" s="3"/>
      <c r="P52" s="3"/>
      <c r="Q52" s="3"/>
      <c r="R52" s="3"/>
      <c r="S52" s="3"/>
      <c r="T52" s="3"/>
      <c r="U52" s="3" t="s">
        <v>15</v>
      </c>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1:62" x14ac:dyDescent="0.25">
      <c r="B53" s="3" t="s">
        <v>248</v>
      </c>
      <c r="C53" s="3" t="s">
        <v>469</v>
      </c>
      <c r="D53" s="3" t="s">
        <v>410</v>
      </c>
      <c r="E53" s="3" t="s">
        <v>212</v>
      </c>
      <c r="F53" s="3">
        <v>28</v>
      </c>
      <c r="G53" s="3">
        <v>5</v>
      </c>
      <c r="H53" s="3">
        <v>28</v>
      </c>
      <c r="I53" s="3">
        <v>-15</v>
      </c>
      <c r="J53" s="3"/>
      <c r="L53" s="3"/>
      <c r="M53" s="3"/>
      <c r="N53" s="3"/>
      <c r="O53" s="3"/>
      <c r="P53" s="3"/>
      <c r="Q53" s="3"/>
      <c r="R53" s="3"/>
      <c r="S53" s="3"/>
      <c r="T53" s="3"/>
      <c r="U53" s="3" t="s">
        <v>15</v>
      </c>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1:62" x14ac:dyDescent="0.25">
      <c r="B54" s="3" t="s">
        <v>250</v>
      </c>
      <c r="C54" s="3" t="s">
        <v>469</v>
      </c>
      <c r="D54" s="3" t="s">
        <v>411</v>
      </c>
      <c r="E54" s="3" t="s">
        <v>212</v>
      </c>
      <c r="F54" s="3">
        <v>29</v>
      </c>
      <c r="G54" s="3">
        <v>5</v>
      </c>
      <c r="H54" s="3">
        <v>29</v>
      </c>
      <c r="I54" s="3">
        <v>-15</v>
      </c>
      <c r="J54" s="3"/>
      <c r="L54" s="3"/>
      <c r="M54" s="3"/>
      <c r="N54" s="3"/>
      <c r="O54" s="3"/>
      <c r="P54" s="3"/>
      <c r="Q54" s="3"/>
      <c r="R54" s="3"/>
      <c r="S54" s="3"/>
      <c r="T54" s="3"/>
      <c r="U54" s="3" t="s">
        <v>15</v>
      </c>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1:62" x14ac:dyDescent="0.25">
      <c r="B55" s="3" t="s">
        <v>251</v>
      </c>
      <c r="C55" s="3" t="s">
        <v>469</v>
      </c>
      <c r="D55" s="3" t="s">
        <v>412</v>
      </c>
      <c r="E55" s="3" t="s">
        <v>212</v>
      </c>
      <c r="F55" s="3">
        <v>30</v>
      </c>
      <c r="G55" s="3">
        <v>5</v>
      </c>
      <c r="H55" s="3">
        <v>30</v>
      </c>
      <c r="I55" s="3">
        <v>-15</v>
      </c>
      <c r="J55" s="3"/>
      <c r="L55" s="3"/>
      <c r="M55" s="3"/>
      <c r="N55" s="3"/>
      <c r="O55" s="3"/>
      <c r="P55" s="3"/>
      <c r="Q55" s="3"/>
      <c r="R55" s="3"/>
      <c r="S55" s="3"/>
      <c r="T55" s="3"/>
      <c r="U55" s="3" t="s">
        <v>15</v>
      </c>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1:62" x14ac:dyDescent="0.25">
      <c r="B56" s="3" t="s">
        <v>252</v>
      </c>
      <c r="C56" s="3" t="s">
        <v>469</v>
      </c>
      <c r="D56" s="3" t="s">
        <v>413</v>
      </c>
      <c r="E56" s="3" t="s">
        <v>212</v>
      </c>
      <c r="F56" s="3">
        <v>31</v>
      </c>
      <c r="G56" s="3">
        <v>5</v>
      </c>
      <c r="H56" s="3">
        <v>31</v>
      </c>
      <c r="I56" s="3">
        <v>-15</v>
      </c>
      <c r="J56" s="3"/>
      <c r="L56" s="3"/>
      <c r="M56" s="3"/>
      <c r="N56" s="3"/>
      <c r="O56" s="3"/>
      <c r="P56" s="3"/>
      <c r="Q56" s="3"/>
      <c r="R56" s="3"/>
      <c r="S56" s="3"/>
      <c r="T56" s="3"/>
      <c r="U56" s="3" t="s">
        <v>15</v>
      </c>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1:62" x14ac:dyDescent="0.25">
      <c r="B57" s="3" t="s">
        <v>253</v>
      </c>
      <c r="C57" s="3" t="s">
        <v>469</v>
      </c>
      <c r="D57" s="3" t="s">
        <v>414</v>
      </c>
      <c r="E57" s="3" t="s">
        <v>212</v>
      </c>
      <c r="F57" s="3">
        <v>32</v>
      </c>
      <c r="G57" s="3">
        <v>5</v>
      </c>
      <c r="H57" s="3">
        <v>32</v>
      </c>
      <c r="I57" s="3">
        <v>-15</v>
      </c>
      <c r="J57" s="3"/>
      <c r="L57" s="3"/>
      <c r="M57" s="3"/>
      <c r="N57" s="3"/>
      <c r="O57" s="3"/>
      <c r="P57" s="3"/>
      <c r="Q57" s="3"/>
      <c r="R57" s="3"/>
      <c r="S57" s="3"/>
      <c r="T57" s="3"/>
      <c r="U57" s="3" t="s">
        <v>15</v>
      </c>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1:62" x14ac:dyDescent="0.25">
      <c r="B58" s="3" t="s">
        <v>255</v>
      </c>
      <c r="C58" s="3" t="s">
        <v>469</v>
      </c>
      <c r="D58" s="3" t="s">
        <v>415</v>
      </c>
      <c r="E58" s="3" t="s">
        <v>212</v>
      </c>
      <c r="F58" s="3">
        <v>33</v>
      </c>
      <c r="G58" s="3">
        <v>5</v>
      </c>
      <c r="H58" s="3">
        <v>33</v>
      </c>
      <c r="I58" s="3">
        <v>-15</v>
      </c>
      <c r="J58" s="3"/>
      <c r="L58" s="3"/>
      <c r="M58" s="3"/>
      <c r="N58" s="3"/>
      <c r="O58" s="3"/>
      <c r="P58" s="3"/>
      <c r="Q58" s="3"/>
      <c r="R58" s="3"/>
      <c r="S58" s="3"/>
      <c r="T58" s="3"/>
      <c r="U58" s="3" t="s">
        <v>15</v>
      </c>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1:62" x14ac:dyDescent="0.25">
      <c r="B59" s="3" t="s">
        <v>256</v>
      </c>
      <c r="C59" s="3" t="s">
        <v>469</v>
      </c>
      <c r="D59" s="3" t="s">
        <v>416</v>
      </c>
      <c r="E59" s="3" t="s">
        <v>212</v>
      </c>
      <c r="F59" s="3">
        <v>34</v>
      </c>
      <c r="G59" s="3">
        <v>5</v>
      </c>
      <c r="H59" s="3">
        <v>34</v>
      </c>
      <c r="I59" s="3">
        <v>-15</v>
      </c>
      <c r="J59" s="3"/>
      <c r="L59" s="3"/>
      <c r="M59" s="3"/>
      <c r="N59" s="3"/>
      <c r="O59" s="3"/>
      <c r="P59" s="3"/>
      <c r="Q59" s="3"/>
      <c r="R59" s="3"/>
      <c r="S59" s="3"/>
      <c r="T59" s="3"/>
      <c r="U59" s="3" t="s">
        <v>15</v>
      </c>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1:62" x14ac:dyDescent="0.25">
      <c r="B60" s="3" t="s">
        <v>257</v>
      </c>
      <c r="C60" s="3" t="s">
        <v>469</v>
      </c>
      <c r="D60" s="3" t="s">
        <v>417</v>
      </c>
      <c r="E60" s="3" t="s">
        <v>212</v>
      </c>
      <c r="F60" s="3">
        <v>35</v>
      </c>
      <c r="G60" s="3">
        <v>5</v>
      </c>
      <c r="H60" s="3">
        <v>35</v>
      </c>
      <c r="I60" s="3">
        <v>-15</v>
      </c>
      <c r="J60" s="3"/>
      <c r="L60" s="3"/>
      <c r="M60" s="3"/>
      <c r="N60" s="3"/>
      <c r="O60" s="3"/>
      <c r="P60" s="3"/>
      <c r="Q60" s="3"/>
      <c r="R60" s="3"/>
      <c r="S60" s="3"/>
      <c r="T60" s="3"/>
      <c r="U60" s="3" t="s">
        <v>15</v>
      </c>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1:62" x14ac:dyDescent="0.25">
      <c r="B61" s="3" t="s">
        <v>258</v>
      </c>
      <c r="C61" s="63" t="s">
        <v>469</v>
      </c>
      <c r="D61" s="3" t="s">
        <v>418</v>
      </c>
      <c r="E61" s="63" t="s">
        <v>212</v>
      </c>
      <c r="F61" s="63">
        <v>36</v>
      </c>
      <c r="G61" s="63">
        <v>5</v>
      </c>
      <c r="H61" s="63">
        <v>36</v>
      </c>
      <c r="I61" s="63">
        <v>-15</v>
      </c>
      <c r="J61" s="3"/>
      <c r="L61" s="3"/>
      <c r="M61" s="3"/>
      <c r="N61" s="3"/>
      <c r="O61" s="3"/>
      <c r="P61" s="3"/>
      <c r="Q61" s="3"/>
      <c r="R61" s="3"/>
      <c r="S61" s="3"/>
      <c r="T61" s="3"/>
      <c r="U61" s="3" t="s">
        <v>15</v>
      </c>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1:62" x14ac:dyDescent="0.25">
      <c r="B62" s="3" t="s">
        <v>260</v>
      </c>
      <c r="C62" s="63" t="s">
        <v>469</v>
      </c>
      <c r="D62" s="3" t="s">
        <v>419</v>
      </c>
      <c r="E62" s="63" t="s">
        <v>212</v>
      </c>
      <c r="F62" s="63">
        <v>37</v>
      </c>
      <c r="G62" s="63">
        <v>5</v>
      </c>
      <c r="H62" s="63">
        <v>37</v>
      </c>
      <c r="I62" s="63">
        <v>-15</v>
      </c>
      <c r="J62" s="3"/>
      <c r="L62" s="3"/>
      <c r="M62" s="3"/>
      <c r="N62" s="3"/>
      <c r="O62" s="3"/>
      <c r="P62" s="3"/>
      <c r="Q62" s="3"/>
      <c r="R62" s="3"/>
      <c r="S62" s="3"/>
      <c r="T62" s="3"/>
      <c r="U62" s="3" t="s">
        <v>15</v>
      </c>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1:62" s="67" customFormat="1" x14ac:dyDescent="0.25">
      <c r="A63"/>
      <c r="B63" s="3" t="s">
        <v>261</v>
      </c>
      <c r="C63" s="63" t="s">
        <v>469</v>
      </c>
      <c r="D63" s="3" t="s">
        <v>420</v>
      </c>
      <c r="E63" s="63" t="s">
        <v>212</v>
      </c>
      <c r="F63" s="63">
        <v>38</v>
      </c>
      <c r="G63" s="63">
        <v>5</v>
      </c>
      <c r="H63" s="63">
        <v>38</v>
      </c>
      <c r="I63" s="63">
        <v>-15</v>
      </c>
      <c r="J63" s="3"/>
      <c r="K63" s="54"/>
      <c r="L63" s="3"/>
      <c r="M63" s="3"/>
      <c r="N63" s="3"/>
      <c r="O63" s="3"/>
      <c r="P63" s="3"/>
      <c r="Q63" s="3"/>
      <c r="R63" s="3"/>
      <c r="S63" s="3"/>
      <c r="T63" s="3"/>
      <c r="U63" s="3" t="s">
        <v>15</v>
      </c>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1:62" s="67" customFormat="1" x14ac:dyDescent="0.25">
      <c r="A64"/>
      <c r="B64" s="3" t="s">
        <v>262</v>
      </c>
      <c r="C64" s="63" t="s">
        <v>469</v>
      </c>
      <c r="D64" s="3" t="s">
        <v>421</v>
      </c>
      <c r="E64" s="63" t="s">
        <v>212</v>
      </c>
      <c r="F64" s="63">
        <v>39</v>
      </c>
      <c r="G64" s="63">
        <v>5</v>
      </c>
      <c r="H64" s="63">
        <v>39</v>
      </c>
      <c r="I64" s="63">
        <v>-15</v>
      </c>
      <c r="J64" s="3"/>
      <c r="K64" s="54"/>
      <c r="L64" s="3"/>
      <c r="M64" s="3"/>
      <c r="N64" s="3"/>
      <c r="O64" s="3"/>
      <c r="P64" s="3"/>
      <c r="Q64" s="3"/>
      <c r="R64" s="3"/>
      <c r="S64" s="3"/>
      <c r="T64" s="3"/>
      <c r="U64" s="3" t="s">
        <v>15</v>
      </c>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1:62" s="67" customFormat="1" x14ac:dyDescent="0.25">
      <c r="A65"/>
      <c r="B65" s="3" t="s">
        <v>263</v>
      </c>
      <c r="C65" s="63" t="s">
        <v>469</v>
      </c>
      <c r="D65" s="3" t="s">
        <v>422</v>
      </c>
      <c r="E65" s="63" t="s">
        <v>212</v>
      </c>
      <c r="F65" s="63">
        <v>40</v>
      </c>
      <c r="G65" s="63">
        <v>5</v>
      </c>
      <c r="H65" s="63">
        <v>40</v>
      </c>
      <c r="I65" s="63">
        <v>-15</v>
      </c>
      <c r="J65" s="3"/>
      <c r="K65" s="54"/>
      <c r="L65" s="3"/>
      <c r="M65" s="3"/>
      <c r="N65" s="3"/>
      <c r="O65" s="3"/>
      <c r="P65" s="3"/>
      <c r="Q65" s="3"/>
      <c r="R65" s="3"/>
      <c r="S65" s="3"/>
      <c r="T65" s="3"/>
      <c r="U65" s="3" t="s">
        <v>15</v>
      </c>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1:62" x14ac:dyDescent="0.25">
      <c r="B66" s="3" t="s">
        <v>265</v>
      </c>
      <c r="C66" s="63" t="s">
        <v>469</v>
      </c>
      <c r="D66" s="3" t="s">
        <v>423</v>
      </c>
      <c r="E66" s="63" t="s">
        <v>212</v>
      </c>
      <c r="F66" s="63">
        <v>41</v>
      </c>
      <c r="G66" s="63">
        <v>5</v>
      </c>
      <c r="H66" s="63">
        <v>41</v>
      </c>
      <c r="I66" s="63">
        <v>-15</v>
      </c>
      <c r="J66" s="3"/>
      <c r="L66" s="3"/>
      <c r="M66" s="3"/>
      <c r="N66" s="3"/>
      <c r="O66" s="3"/>
      <c r="P66" s="3"/>
      <c r="Q66" s="3"/>
      <c r="R66" s="3"/>
      <c r="S66" s="3"/>
      <c r="T66" s="3"/>
      <c r="U66" s="3" t="s">
        <v>15</v>
      </c>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1:62" x14ac:dyDescent="0.25">
      <c r="B67" s="3" t="s">
        <v>266</v>
      </c>
      <c r="C67" s="63" t="s">
        <v>469</v>
      </c>
      <c r="D67" s="3" t="s">
        <v>424</v>
      </c>
      <c r="E67" s="63" t="s">
        <v>212</v>
      </c>
      <c r="F67" s="63">
        <v>42</v>
      </c>
      <c r="G67" s="63">
        <v>5</v>
      </c>
      <c r="H67" s="63">
        <v>42</v>
      </c>
      <c r="I67" s="63">
        <v>-15</v>
      </c>
      <c r="J67" s="3"/>
      <c r="L67" s="3"/>
      <c r="M67" s="3"/>
      <c r="N67" s="3"/>
      <c r="O67" s="3"/>
      <c r="P67" s="3"/>
      <c r="Q67" s="3"/>
      <c r="R67" s="3"/>
      <c r="S67" s="3"/>
      <c r="T67" s="3"/>
      <c r="U67" s="3" t="s">
        <v>15</v>
      </c>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1:62" x14ac:dyDescent="0.25">
      <c r="B68" s="3" t="s">
        <v>267</v>
      </c>
      <c r="C68" s="63" t="s">
        <v>469</v>
      </c>
      <c r="D68" s="3" t="s">
        <v>425</v>
      </c>
      <c r="E68" s="63" t="s">
        <v>212</v>
      </c>
      <c r="F68" s="63">
        <v>43</v>
      </c>
      <c r="G68" s="63">
        <v>5</v>
      </c>
      <c r="H68" s="63">
        <v>43</v>
      </c>
      <c r="I68" s="63">
        <v>-15</v>
      </c>
      <c r="J68" s="3"/>
      <c r="L68" s="3"/>
      <c r="M68" s="3"/>
      <c r="N68" s="3"/>
      <c r="O68" s="3"/>
      <c r="P68" s="3"/>
      <c r="Q68" s="3"/>
      <c r="R68" s="3"/>
      <c r="S68" s="3"/>
      <c r="T68" s="3"/>
      <c r="U68" s="3" t="s">
        <v>15</v>
      </c>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1:62" x14ac:dyDescent="0.25">
      <c r="B69" s="3" t="s">
        <v>268</v>
      </c>
      <c r="C69" s="63" t="s">
        <v>469</v>
      </c>
      <c r="D69" s="3" t="s">
        <v>426</v>
      </c>
      <c r="E69" s="63" t="s">
        <v>212</v>
      </c>
      <c r="F69" s="63">
        <v>44</v>
      </c>
      <c r="G69" s="63">
        <v>5</v>
      </c>
      <c r="H69" s="63">
        <v>44</v>
      </c>
      <c r="I69" s="63">
        <v>-15</v>
      </c>
      <c r="J69" s="3"/>
      <c r="L69" s="3"/>
      <c r="M69" s="3"/>
      <c r="N69" s="3"/>
      <c r="O69" s="3"/>
      <c r="P69" s="3"/>
      <c r="Q69" s="3"/>
      <c r="R69" s="3"/>
      <c r="S69" s="3"/>
      <c r="T69" s="3"/>
      <c r="U69" s="3" t="s">
        <v>15</v>
      </c>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1:62" x14ac:dyDescent="0.25">
      <c r="B70" s="3" t="s">
        <v>270</v>
      </c>
      <c r="C70" s="63" t="s">
        <v>469</v>
      </c>
      <c r="D70" s="3" t="s">
        <v>427</v>
      </c>
      <c r="E70" s="63" t="s">
        <v>212</v>
      </c>
      <c r="F70" s="63">
        <v>45</v>
      </c>
      <c r="G70" s="63">
        <v>5</v>
      </c>
      <c r="H70" s="63">
        <v>45</v>
      </c>
      <c r="I70" s="63">
        <v>-15</v>
      </c>
      <c r="J70" s="3"/>
      <c r="L70" s="3"/>
      <c r="M70" s="3"/>
      <c r="N70" s="3"/>
      <c r="O70" s="3"/>
      <c r="P70" s="3"/>
      <c r="Q70" s="3"/>
      <c r="R70" s="3"/>
      <c r="S70" s="3"/>
      <c r="T70" s="3"/>
      <c r="U70" s="3" t="s">
        <v>15</v>
      </c>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1:62" x14ac:dyDescent="0.25">
      <c r="B71" s="3" t="s">
        <v>271</v>
      </c>
      <c r="C71" s="63" t="s">
        <v>469</v>
      </c>
      <c r="D71" s="3" t="s">
        <v>428</v>
      </c>
      <c r="E71" s="63" t="s">
        <v>212</v>
      </c>
      <c r="F71" s="63">
        <v>46</v>
      </c>
      <c r="G71" s="63">
        <v>5</v>
      </c>
      <c r="H71" s="63">
        <v>46</v>
      </c>
      <c r="I71" s="63">
        <v>-15</v>
      </c>
      <c r="J71" s="3"/>
      <c r="L71" s="3"/>
      <c r="M71" s="3"/>
      <c r="N71" s="3"/>
      <c r="O71" s="3"/>
      <c r="P71" s="3"/>
      <c r="Q71" s="3"/>
      <c r="R71" s="3"/>
      <c r="S71" s="3"/>
      <c r="T71" s="3"/>
      <c r="U71" s="3" t="s">
        <v>15</v>
      </c>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1:62" x14ac:dyDescent="0.25">
      <c r="B72" s="3" t="s">
        <v>272</v>
      </c>
      <c r="C72" s="63" t="s">
        <v>469</v>
      </c>
      <c r="D72" s="3" t="s">
        <v>429</v>
      </c>
      <c r="E72" s="63" t="s">
        <v>212</v>
      </c>
      <c r="F72" s="63">
        <v>47</v>
      </c>
      <c r="G72" s="63">
        <v>5</v>
      </c>
      <c r="H72" s="63">
        <v>47</v>
      </c>
      <c r="I72" s="63">
        <v>-15</v>
      </c>
      <c r="J72" s="3"/>
      <c r="L72" s="3"/>
      <c r="M72" s="3"/>
      <c r="N72" s="3"/>
      <c r="O72" s="3"/>
      <c r="P72" s="3"/>
      <c r="Q72" s="3"/>
      <c r="R72" s="3"/>
      <c r="S72" s="3"/>
      <c r="T72" s="3"/>
      <c r="U72" s="3" t="s">
        <v>15</v>
      </c>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1:62" x14ac:dyDescent="0.25">
      <c r="B73" s="3" t="s">
        <v>273</v>
      </c>
      <c r="C73" s="63" t="s">
        <v>469</v>
      </c>
      <c r="D73" s="3" t="s">
        <v>430</v>
      </c>
      <c r="E73" s="63" t="s">
        <v>212</v>
      </c>
      <c r="F73" s="63">
        <v>48</v>
      </c>
      <c r="G73" s="63">
        <v>5</v>
      </c>
      <c r="H73" s="63">
        <v>48</v>
      </c>
      <c r="I73" s="63">
        <v>-15</v>
      </c>
      <c r="J73" s="3"/>
      <c r="L73" s="3"/>
      <c r="M73" s="3"/>
      <c r="N73" s="3"/>
      <c r="O73" s="3"/>
      <c r="P73" s="3"/>
      <c r="Q73" s="3"/>
      <c r="R73" s="3"/>
      <c r="S73" s="3"/>
      <c r="T73" s="3"/>
      <c r="U73" s="3" t="s">
        <v>15</v>
      </c>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1:62" x14ac:dyDescent="0.25">
      <c r="B74" s="3" t="s">
        <v>276</v>
      </c>
      <c r="C74" s="63" t="s">
        <v>469</v>
      </c>
      <c r="D74" s="3" t="s">
        <v>431</v>
      </c>
      <c r="E74" s="63" t="s">
        <v>212</v>
      </c>
      <c r="F74" s="63">
        <v>49</v>
      </c>
      <c r="G74" s="63">
        <v>5</v>
      </c>
      <c r="H74" s="63">
        <v>49</v>
      </c>
      <c r="I74" s="63">
        <v>-15</v>
      </c>
      <c r="J74" s="3"/>
      <c r="L74" s="3"/>
      <c r="M74" s="3"/>
      <c r="N74" s="3"/>
      <c r="O74" s="3"/>
      <c r="P74" s="3"/>
      <c r="Q74" s="3"/>
      <c r="R74" s="3"/>
      <c r="S74" s="3"/>
      <c r="T74" s="3"/>
      <c r="U74" s="3" t="s">
        <v>15</v>
      </c>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1:62" x14ac:dyDescent="0.25">
      <c r="B75" s="3" t="s">
        <v>277</v>
      </c>
      <c r="C75" s="63" t="s">
        <v>469</v>
      </c>
      <c r="D75" s="3" t="s">
        <v>432</v>
      </c>
      <c r="E75" s="63" t="s">
        <v>212</v>
      </c>
      <c r="F75" s="63">
        <v>50</v>
      </c>
      <c r="G75" s="63">
        <v>5</v>
      </c>
      <c r="H75" s="63">
        <v>50</v>
      </c>
      <c r="I75" s="63">
        <v>-15</v>
      </c>
      <c r="J75" s="3"/>
      <c r="L75" s="3"/>
      <c r="M75" s="3"/>
      <c r="N75" s="3"/>
      <c r="O75" s="3"/>
      <c r="P75" s="3"/>
      <c r="Q75" s="3"/>
      <c r="R75" s="3"/>
      <c r="S75" s="3"/>
      <c r="T75" s="3"/>
      <c r="U75" s="3" t="s">
        <v>15</v>
      </c>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1:62" x14ac:dyDescent="0.25">
      <c r="B76" s="3" t="s">
        <v>278</v>
      </c>
      <c r="C76" s="63" t="s">
        <v>469</v>
      </c>
      <c r="D76" s="3" t="s">
        <v>433</v>
      </c>
      <c r="E76" s="63" t="s">
        <v>212</v>
      </c>
      <c r="F76" s="63">
        <v>51</v>
      </c>
      <c r="G76" s="63">
        <v>5</v>
      </c>
      <c r="H76" s="63">
        <v>51</v>
      </c>
      <c r="I76" s="63">
        <v>-15</v>
      </c>
      <c r="J76" s="3"/>
      <c r="L76" s="3"/>
      <c r="M76" s="3"/>
      <c r="N76" s="3"/>
      <c r="O76" s="3"/>
      <c r="P76" s="3"/>
      <c r="Q76" s="3"/>
      <c r="R76" s="3"/>
      <c r="S76" s="3"/>
      <c r="T76" s="3"/>
      <c r="U76" s="3" t="s">
        <v>15</v>
      </c>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1:62" x14ac:dyDescent="0.25">
      <c r="B77" s="3" t="s">
        <v>279</v>
      </c>
      <c r="C77" s="63" t="s">
        <v>469</v>
      </c>
      <c r="D77" s="3" t="s">
        <v>434</v>
      </c>
      <c r="E77" s="63" t="s">
        <v>212</v>
      </c>
      <c r="F77" s="63">
        <v>52</v>
      </c>
      <c r="G77" s="63">
        <v>5</v>
      </c>
      <c r="H77" s="63">
        <v>52</v>
      </c>
      <c r="I77" s="63">
        <v>-15</v>
      </c>
      <c r="J77" s="3"/>
      <c r="L77" s="3"/>
      <c r="M77" s="3"/>
      <c r="N77" s="3"/>
      <c r="O77" s="3"/>
      <c r="P77" s="3"/>
      <c r="Q77" s="3"/>
      <c r="R77" s="3"/>
      <c r="S77" s="3"/>
      <c r="T77" s="3"/>
      <c r="U77" s="3" t="s">
        <v>15</v>
      </c>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1:62" x14ac:dyDescent="0.25">
      <c r="B78" s="3" t="s">
        <v>280</v>
      </c>
      <c r="C78" s="63" t="s">
        <v>469</v>
      </c>
      <c r="D78" s="3" t="s">
        <v>435</v>
      </c>
      <c r="E78" s="63" t="s">
        <v>212</v>
      </c>
      <c r="F78" s="63">
        <v>53</v>
      </c>
      <c r="G78" s="63">
        <v>5</v>
      </c>
      <c r="H78" s="63">
        <v>53</v>
      </c>
      <c r="I78" s="63">
        <v>-15</v>
      </c>
      <c r="J78" s="3"/>
      <c r="L78" s="3"/>
      <c r="M78" s="3"/>
      <c r="N78" s="3"/>
      <c r="O78" s="3"/>
      <c r="P78" s="3"/>
      <c r="Q78" s="3"/>
      <c r="R78" s="3"/>
      <c r="S78" s="3"/>
      <c r="T78" s="3"/>
      <c r="U78" s="3" t="s">
        <v>15</v>
      </c>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1:62" x14ac:dyDescent="0.25">
      <c r="B79" s="3" t="s">
        <v>281</v>
      </c>
      <c r="C79" s="63" t="s">
        <v>469</v>
      </c>
      <c r="D79" s="3" t="s">
        <v>436</v>
      </c>
      <c r="E79" s="63" t="s">
        <v>212</v>
      </c>
      <c r="F79" s="63">
        <v>54</v>
      </c>
      <c r="G79" s="63">
        <v>5</v>
      </c>
      <c r="H79" s="63">
        <v>54</v>
      </c>
      <c r="I79" s="63">
        <v>-15</v>
      </c>
      <c r="J79" s="3"/>
      <c r="L79" s="3"/>
      <c r="M79" s="3"/>
      <c r="N79" s="3"/>
      <c r="O79" s="3"/>
      <c r="P79" s="3"/>
      <c r="Q79" s="3"/>
      <c r="R79" s="3"/>
      <c r="S79" s="3"/>
      <c r="T79" s="3"/>
      <c r="U79" s="3" t="s">
        <v>15</v>
      </c>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1:62" x14ac:dyDescent="0.25">
      <c r="B80" s="3" t="s">
        <v>282</v>
      </c>
      <c r="C80" s="63" t="s">
        <v>469</v>
      </c>
      <c r="D80" s="3" t="s">
        <v>437</v>
      </c>
      <c r="E80" s="63" t="s">
        <v>212</v>
      </c>
      <c r="F80" s="63">
        <v>55</v>
      </c>
      <c r="G80" s="63">
        <v>5</v>
      </c>
      <c r="H80" s="63">
        <v>55</v>
      </c>
      <c r="I80" s="63">
        <v>-15</v>
      </c>
      <c r="J80" s="3"/>
      <c r="L80" s="3"/>
      <c r="M80" s="3"/>
      <c r="N80" s="3"/>
      <c r="O80" s="3"/>
      <c r="P80" s="3"/>
      <c r="Q80" s="3"/>
      <c r="R80" s="3"/>
      <c r="S80" s="3"/>
      <c r="T80" s="3"/>
      <c r="U80" s="3" t="s">
        <v>15</v>
      </c>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2:62" x14ac:dyDescent="0.25">
      <c r="B81" s="3" t="s">
        <v>283</v>
      </c>
      <c r="C81" s="63" t="s">
        <v>469</v>
      </c>
      <c r="D81" s="3" t="s">
        <v>438</v>
      </c>
      <c r="E81" s="63" t="s">
        <v>212</v>
      </c>
      <c r="F81" s="63">
        <v>56</v>
      </c>
      <c r="G81" s="63">
        <v>5</v>
      </c>
      <c r="H81" s="63">
        <v>56</v>
      </c>
      <c r="I81" s="63">
        <v>-15</v>
      </c>
      <c r="J81" s="3"/>
      <c r="L81" s="3"/>
      <c r="M81" s="3"/>
      <c r="N81" s="3"/>
      <c r="O81" s="3"/>
      <c r="P81" s="3"/>
      <c r="Q81" s="3"/>
      <c r="R81" s="3"/>
      <c r="S81" s="3"/>
      <c r="T81" s="3"/>
      <c r="U81" s="3" t="s">
        <v>15</v>
      </c>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2:62" x14ac:dyDescent="0.25">
      <c r="B82" s="41" t="s">
        <v>285</v>
      </c>
      <c r="C82" s="64" t="s">
        <v>469</v>
      </c>
      <c r="D82" s="41" t="s">
        <v>439</v>
      </c>
      <c r="E82" s="64" t="s">
        <v>212</v>
      </c>
      <c r="F82" s="64">
        <v>57</v>
      </c>
      <c r="G82" s="64">
        <v>5</v>
      </c>
      <c r="H82" s="64">
        <v>57</v>
      </c>
      <c r="I82" s="64">
        <v>-15</v>
      </c>
      <c r="J82" s="41"/>
      <c r="L82" s="3"/>
      <c r="M82" s="3"/>
      <c r="N82" s="3"/>
      <c r="O82" s="3"/>
      <c r="P82" s="3"/>
      <c r="Q82" s="3"/>
      <c r="R82" s="3"/>
      <c r="S82" s="3"/>
      <c r="T82" s="3"/>
      <c r="U82" s="3" t="s">
        <v>15</v>
      </c>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41"/>
      <c r="AX82" s="41"/>
      <c r="AY82" s="41"/>
      <c r="AZ82" s="41"/>
      <c r="BA82" s="41"/>
      <c r="BB82" s="41"/>
      <c r="BC82" s="41"/>
      <c r="BD82" s="41"/>
      <c r="BE82" s="41"/>
      <c r="BF82" s="41"/>
      <c r="BG82" s="41"/>
      <c r="BH82" s="41"/>
      <c r="BI82" s="41"/>
      <c r="BJ82" s="41"/>
    </row>
    <row r="83" spans="2:62" x14ac:dyDescent="0.25">
      <c r="B83" s="3" t="s">
        <v>286</v>
      </c>
      <c r="C83" s="63" t="s">
        <v>469</v>
      </c>
      <c r="D83" s="3" t="s">
        <v>440</v>
      </c>
      <c r="E83" s="63" t="s">
        <v>212</v>
      </c>
      <c r="F83" s="63">
        <v>58</v>
      </c>
      <c r="G83" s="63">
        <v>5</v>
      </c>
      <c r="H83" s="63">
        <v>58</v>
      </c>
      <c r="I83" s="63">
        <v>-15</v>
      </c>
      <c r="J83" s="3"/>
      <c r="L83" s="3"/>
      <c r="M83" s="3"/>
      <c r="N83" s="3"/>
      <c r="O83" s="3"/>
      <c r="P83" s="3"/>
      <c r="Q83" s="3"/>
      <c r="R83" s="3"/>
      <c r="S83" s="3"/>
      <c r="T83" s="3"/>
      <c r="U83" s="3" t="s">
        <v>15</v>
      </c>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2:62" x14ac:dyDescent="0.25">
      <c r="B84" s="3" t="s">
        <v>287</v>
      </c>
      <c r="C84" s="63" t="s">
        <v>469</v>
      </c>
      <c r="D84" s="3" t="s">
        <v>441</v>
      </c>
      <c r="E84" s="63" t="s">
        <v>212</v>
      </c>
      <c r="F84" s="63">
        <v>59</v>
      </c>
      <c r="G84" s="63">
        <v>5</v>
      </c>
      <c r="H84" s="63">
        <v>59</v>
      </c>
      <c r="I84" s="63">
        <v>-15</v>
      </c>
      <c r="J84" s="3"/>
      <c r="L84" s="3"/>
      <c r="M84" s="3"/>
      <c r="N84" s="3"/>
      <c r="O84" s="3"/>
      <c r="P84" s="3"/>
      <c r="Q84" s="3"/>
      <c r="R84" s="3"/>
      <c r="S84" s="3"/>
      <c r="T84" s="3"/>
      <c r="U84" s="3" t="s">
        <v>15</v>
      </c>
      <c r="V84" s="3"/>
      <c r="W84" s="3"/>
      <c r="X84" s="3"/>
      <c r="Y84" s="3"/>
      <c r="Z84" s="3"/>
      <c r="AA84" s="3"/>
      <c r="AB84" s="3"/>
      <c r="AC84" s="3"/>
      <c r="AD84" s="3"/>
      <c r="AE84" s="3"/>
      <c r="AF84" s="3"/>
      <c r="AG84" s="3"/>
      <c r="AH84" s="3"/>
      <c r="AI84" s="3"/>
      <c r="AJ84" s="3"/>
      <c r="AK84" s="3"/>
      <c r="AL84" s="3"/>
      <c r="AM84" s="3"/>
      <c r="AN84" s="3"/>
      <c r="AO84" s="41"/>
      <c r="AP84" s="41"/>
      <c r="AQ84" s="41"/>
      <c r="AR84" s="41"/>
      <c r="AS84" s="41"/>
      <c r="AT84" s="41"/>
      <c r="AU84" s="41"/>
      <c r="AV84" s="41"/>
      <c r="AW84" s="3"/>
      <c r="AX84" s="3"/>
      <c r="AY84" s="3"/>
      <c r="AZ84" s="3"/>
      <c r="BA84" s="3"/>
      <c r="BB84" s="3"/>
      <c r="BC84" s="3"/>
      <c r="BD84" s="3"/>
      <c r="BE84" s="3"/>
      <c r="BF84" s="3"/>
      <c r="BG84" s="3"/>
      <c r="BH84" s="3"/>
      <c r="BI84" s="3"/>
      <c r="BJ84" s="3"/>
    </row>
    <row r="85" spans="2:62" x14ac:dyDescent="0.25">
      <c r="B85" s="3" t="s">
        <v>288</v>
      </c>
      <c r="C85" s="63" t="s">
        <v>469</v>
      </c>
      <c r="D85" s="3" t="s">
        <v>442</v>
      </c>
      <c r="E85" s="63" t="s">
        <v>212</v>
      </c>
      <c r="F85" s="63">
        <v>60</v>
      </c>
      <c r="G85" s="63">
        <v>5</v>
      </c>
      <c r="H85" s="63">
        <v>60</v>
      </c>
      <c r="I85" s="63">
        <v>-15</v>
      </c>
      <c r="J85" s="3"/>
      <c r="L85" s="3"/>
      <c r="M85" s="3"/>
      <c r="N85" s="3"/>
      <c r="O85" s="3"/>
      <c r="P85" s="3"/>
      <c r="Q85" s="3"/>
      <c r="R85" s="3"/>
      <c r="S85" s="3"/>
      <c r="T85" s="3"/>
      <c r="U85" s="3" t="s">
        <v>15</v>
      </c>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2:62" x14ac:dyDescent="0.25">
      <c r="B86" s="3" t="s">
        <v>290</v>
      </c>
      <c r="C86" s="63" t="s">
        <v>469</v>
      </c>
      <c r="D86" s="3" t="s">
        <v>443</v>
      </c>
      <c r="E86" s="63" t="s">
        <v>212</v>
      </c>
      <c r="F86" s="63">
        <v>61</v>
      </c>
      <c r="G86" s="63">
        <v>5</v>
      </c>
      <c r="H86" s="63">
        <v>61</v>
      </c>
      <c r="I86" s="63">
        <v>-15</v>
      </c>
      <c r="J86" s="3"/>
      <c r="L86" s="3"/>
      <c r="M86" s="3"/>
      <c r="N86" s="3"/>
      <c r="O86" s="3"/>
      <c r="P86" s="3"/>
      <c r="Q86" s="3"/>
      <c r="R86" s="3"/>
      <c r="S86" s="3"/>
      <c r="T86" s="3"/>
      <c r="U86" s="3" t="s">
        <v>15</v>
      </c>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2:62" x14ac:dyDescent="0.25">
      <c r="B87" s="3" t="s">
        <v>291</v>
      </c>
      <c r="C87" s="63" t="s">
        <v>469</v>
      </c>
      <c r="D87" s="3" t="s">
        <v>444</v>
      </c>
      <c r="E87" s="63" t="s">
        <v>212</v>
      </c>
      <c r="F87" s="63">
        <v>62</v>
      </c>
      <c r="G87" s="63">
        <v>5</v>
      </c>
      <c r="H87" s="63">
        <v>62</v>
      </c>
      <c r="I87" s="63">
        <v>-15</v>
      </c>
      <c r="J87" s="3"/>
      <c r="L87" s="3"/>
      <c r="M87" s="3"/>
      <c r="N87" s="3"/>
      <c r="O87" s="3"/>
      <c r="P87" s="3"/>
      <c r="Q87" s="3"/>
      <c r="R87" s="3"/>
      <c r="S87" s="3"/>
      <c r="T87" s="3"/>
      <c r="U87" s="3" t="s">
        <v>15</v>
      </c>
      <c r="V87" s="3"/>
      <c r="W87" s="3"/>
      <c r="X87" s="3"/>
      <c r="Y87" s="3"/>
      <c r="Z87" s="3"/>
      <c r="AA87" s="41"/>
      <c r="AB87" s="41"/>
      <c r="AC87" s="41"/>
      <c r="AD87" s="41"/>
      <c r="AE87" s="41"/>
      <c r="AF87" s="41"/>
      <c r="AG87" s="41"/>
      <c r="AH87" s="3"/>
      <c r="AI87" s="3"/>
      <c r="AJ87" s="3"/>
      <c r="AK87" s="3"/>
      <c r="AL87" s="41"/>
      <c r="AM87" s="41"/>
      <c r="AN87" s="41"/>
      <c r="AO87" s="3"/>
      <c r="AP87" s="3"/>
      <c r="AQ87" s="3"/>
      <c r="AR87" s="3"/>
      <c r="AS87" s="3"/>
      <c r="AT87" s="3"/>
      <c r="AU87" s="3"/>
      <c r="AV87" s="3"/>
      <c r="AW87" s="3"/>
      <c r="AX87" s="3"/>
      <c r="AY87" s="3"/>
      <c r="AZ87" s="3"/>
      <c r="BA87" s="3"/>
      <c r="BB87" s="3"/>
      <c r="BC87" s="3"/>
      <c r="BD87" s="3"/>
      <c r="BE87" s="3"/>
      <c r="BF87" s="3"/>
      <c r="BG87" s="3"/>
      <c r="BH87" s="3"/>
      <c r="BI87" s="3"/>
      <c r="BJ87" s="3"/>
    </row>
    <row r="88" spans="2:62" x14ac:dyDescent="0.25">
      <c r="B88" s="3" t="s">
        <v>292</v>
      </c>
      <c r="C88" s="63" t="s">
        <v>469</v>
      </c>
      <c r="D88" s="3" t="s">
        <v>445</v>
      </c>
      <c r="E88" s="63" t="s">
        <v>212</v>
      </c>
      <c r="F88" s="63">
        <v>63</v>
      </c>
      <c r="G88" s="63">
        <v>5</v>
      </c>
      <c r="H88" s="63">
        <v>63</v>
      </c>
      <c r="I88" s="63">
        <v>-15</v>
      </c>
      <c r="J88" s="3"/>
      <c r="L88" s="41"/>
      <c r="M88" s="41"/>
      <c r="N88" s="41"/>
      <c r="O88" s="41"/>
      <c r="P88" s="41"/>
      <c r="Q88" s="41"/>
      <c r="R88" s="41"/>
      <c r="S88" s="41"/>
      <c r="T88" s="41"/>
      <c r="U88" s="3" t="s">
        <v>15</v>
      </c>
      <c r="V88" s="41"/>
      <c r="W88" s="41"/>
      <c r="X88" s="41"/>
      <c r="Y88" s="41"/>
      <c r="Z88" s="41"/>
      <c r="AA88" s="3"/>
      <c r="AB88" s="3"/>
      <c r="AC88" s="3"/>
      <c r="AD88" s="3"/>
      <c r="AE88" s="3"/>
      <c r="AF88" s="3"/>
      <c r="AG88" s="3"/>
      <c r="AH88" s="3"/>
      <c r="AI88" s="41"/>
      <c r="AJ88" s="41"/>
      <c r="AK88" s="41"/>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2:62" x14ac:dyDescent="0.25">
      <c r="B89" s="3" t="s">
        <v>293</v>
      </c>
      <c r="C89" s="63" t="s">
        <v>469</v>
      </c>
      <c r="D89" s="3" t="s">
        <v>446</v>
      </c>
      <c r="E89" s="63" t="s">
        <v>212</v>
      </c>
      <c r="F89" s="63">
        <v>64</v>
      </c>
      <c r="G89" s="63">
        <v>5</v>
      </c>
      <c r="H89" s="63">
        <v>64</v>
      </c>
      <c r="I89" s="63">
        <v>-15</v>
      </c>
      <c r="J89" s="3"/>
      <c r="L89" s="3"/>
      <c r="M89" s="3"/>
      <c r="N89" s="3"/>
      <c r="O89" s="3"/>
      <c r="P89" s="3"/>
      <c r="Q89" s="3"/>
      <c r="R89" s="3"/>
      <c r="S89" s="3"/>
      <c r="T89" s="3"/>
      <c r="U89" s="3" t="s">
        <v>15</v>
      </c>
      <c r="V89" s="3"/>
      <c r="W89" s="3"/>
      <c r="X89" s="3"/>
      <c r="Y89" s="3"/>
      <c r="Z89" s="3"/>
      <c r="AA89" s="3"/>
      <c r="AB89" s="3"/>
      <c r="AC89" s="3"/>
      <c r="AD89" s="3"/>
      <c r="AE89" s="3"/>
      <c r="AF89" s="3"/>
      <c r="AG89" s="3"/>
      <c r="AH89" s="41"/>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2:62" x14ac:dyDescent="0.25">
      <c r="B90" s="3" t="s">
        <v>295</v>
      </c>
      <c r="C90" s="63" t="s">
        <v>469</v>
      </c>
      <c r="D90" s="3" t="s">
        <v>447</v>
      </c>
      <c r="E90" s="63" t="s">
        <v>212</v>
      </c>
      <c r="F90" s="63">
        <v>65</v>
      </c>
      <c r="G90" s="63">
        <v>5</v>
      </c>
      <c r="H90" s="63">
        <v>65</v>
      </c>
      <c r="I90" s="63">
        <v>-15</v>
      </c>
      <c r="J90" s="3"/>
      <c r="L90" s="3"/>
      <c r="M90" s="3"/>
      <c r="N90" s="3"/>
      <c r="O90" s="3"/>
      <c r="P90" s="3"/>
      <c r="Q90" s="3"/>
      <c r="R90" s="3"/>
      <c r="S90" s="3"/>
      <c r="T90" s="3"/>
      <c r="U90" s="3" t="s">
        <v>15</v>
      </c>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2:62" x14ac:dyDescent="0.25">
      <c r="B91" s="3" t="s">
        <v>296</v>
      </c>
      <c r="C91" s="63" t="s">
        <v>469</v>
      </c>
      <c r="D91" s="3" t="s">
        <v>448</v>
      </c>
      <c r="E91" s="63" t="s">
        <v>212</v>
      </c>
      <c r="F91" s="63">
        <v>66</v>
      </c>
      <c r="G91" s="63">
        <v>5</v>
      </c>
      <c r="H91" s="63">
        <v>66</v>
      </c>
      <c r="I91" s="63">
        <v>-15</v>
      </c>
      <c r="J91" s="3"/>
      <c r="L91" s="3"/>
      <c r="M91" s="3"/>
      <c r="N91" s="3"/>
      <c r="O91" s="3"/>
      <c r="P91" s="3"/>
      <c r="Q91" s="3"/>
      <c r="R91" s="3"/>
      <c r="S91" s="3"/>
      <c r="T91" s="3"/>
      <c r="U91" s="3" t="s">
        <v>15</v>
      </c>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2:62" x14ac:dyDescent="0.25">
      <c r="B92" s="3" t="s">
        <v>297</v>
      </c>
      <c r="C92" s="63" t="s">
        <v>469</v>
      </c>
      <c r="D92" s="3" t="s">
        <v>449</v>
      </c>
      <c r="E92" s="63" t="s">
        <v>212</v>
      </c>
      <c r="F92" s="63">
        <v>67</v>
      </c>
      <c r="G92" s="63">
        <v>5</v>
      </c>
      <c r="H92" s="63">
        <v>67</v>
      </c>
      <c r="I92" s="63">
        <v>-15</v>
      </c>
      <c r="J92" s="3"/>
      <c r="L92" s="3"/>
      <c r="M92" s="3"/>
      <c r="N92" s="3"/>
      <c r="O92" s="3"/>
      <c r="P92" s="3"/>
      <c r="Q92" s="3"/>
      <c r="R92" s="3"/>
      <c r="S92" s="3"/>
      <c r="T92" s="3"/>
      <c r="U92" s="3" t="s">
        <v>15</v>
      </c>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2:62" x14ac:dyDescent="0.25">
      <c r="B93" s="3" t="s">
        <v>298</v>
      </c>
      <c r="C93" s="63" t="s">
        <v>469</v>
      </c>
      <c r="D93" s="3" t="s">
        <v>450</v>
      </c>
      <c r="E93" s="63" t="s">
        <v>212</v>
      </c>
      <c r="F93" s="63">
        <v>68</v>
      </c>
      <c r="G93" s="63">
        <v>5</v>
      </c>
      <c r="H93" s="63">
        <v>68</v>
      </c>
      <c r="I93" s="63">
        <v>-15</v>
      </c>
      <c r="J93" s="3"/>
      <c r="L93" s="3"/>
      <c r="M93" s="3"/>
      <c r="N93" s="3"/>
      <c r="O93" s="3"/>
      <c r="P93" s="3"/>
      <c r="Q93" s="3"/>
      <c r="R93" s="3"/>
      <c r="S93" s="3"/>
      <c r="T93" s="3"/>
      <c r="U93" s="3" t="s">
        <v>15</v>
      </c>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2:62" x14ac:dyDescent="0.25">
      <c r="B94" s="3" t="s">
        <v>300</v>
      </c>
      <c r="C94" s="63" t="s">
        <v>469</v>
      </c>
      <c r="D94" s="3" t="s">
        <v>451</v>
      </c>
      <c r="E94" s="63" t="s">
        <v>212</v>
      </c>
      <c r="F94" s="63">
        <v>69</v>
      </c>
      <c r="G94" s="63">
        <v>5</v>
      </c>
      <c r="H94" s="63">
        <v>69</v>
      </c>
      <c r="I94" s="63">
        <v>-15</v>
      </c>
      <c r="J94" s="3"/>
      <c r="L94" s="3"/>
      <c r="M94" s="3"/>
      <c r="N94" s="3"/>
      <c r="O94" s="3"/>
      <c r="P94" s="3"/>
      <c r="Q94" s="3"/>
      <c r="R94" s="3"/>
      <c r="S94" s="3"/>
      <c r="T94" s="3"/>
      <c r="U94" s="3" t="s">
        <v>15</v>
      </c>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2:62" x14ac:dyDescent="0.25">
      <c r="B95" s="3" t="s">
        <v>301</v>
      </c>
      <c r="C95" s="63" t="s">
        <v>469</v>
      </c>
      <c r="D95" s="3" t="s">
        <v>452</v>
      </c>
      <c r="E95" s="63" t="s">
        <v>212</v>
      </c>
      <c r="F95" s="63">
        <v>70</v>
      </c>
      <c r="G95" s="63">
        <v>5</v>
      </c>
      <c r="H95" s="63">
        <v>70</v>
      </c>
      <c r="I95" s="63">
        <v>-15</v>
      </c>
      <c r="J95" s="3"/>
      <c r="L95" s="3"/>
      <c r="M95" s="3"/>
      <c r="N95" s="3"/>
      <c r="O95" s="3"/>
      <c r="P95" s="3"/>
      <c r="Q95" s="3"/>
      <c r="R95" s="3"/>
      <c r="S95" s="3"/>
      <c r="T95" s="3"/>
      <c r="U95" s="3" t="s">
        <v>15</v>
      </c>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2:62" x14ac:dyDescent="0.25">
      <c r="B96" s="3" t="s">
        <v>302</v>
      </c>
      <c r="C96" s="63" t="s">
        <v>469</v>
      </c>
      <c r="D96" s="3" t="s">
        <v>453</v>
      </c>
      <c r="E96" s="63" t="s">
        <v>212</v>
      </c>
      <c r="F96" s="63">
        <v>71</v>
      </c>
      <c r="G96" s="63">
        <v>5</v>
      </c>
      <c r="H96" s="63">
        <v>71</v>
      </c>
      <c r="I96" s="63">
        <v>-15</v>
      </c>
      <c r="J96" s="3"/>
      <c r="L96" s="3"/>
      <c r="M96" s="3"/>
      <c r="N96" s="3"/>
      <c r="O96" s="3"/>
      <c r="P96" s="3"/>
      <c r="Q96" s="3"/>
      <c r="R96" s="3"/>
      <c r="S96" s="3"/>
      <c r="T96" s="3"/>
      <c r="U96" s="3" t="s">
        <v>15</v>
      </c>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2:62" x14ac:dyDescent="0.25">
      <c r="B97" s="3" t="s">
        <v>303</v>
      </c>
      <c r="C97" s="63" t="s">
        <v>469</v>
      </c>
      <c r="D97" s="3" t="s">
        <v>454</v>
      </c>
      <c r="E97" s="63" t="s">
        <v>212</v>
      </c>
      <c r="F97" s="63">
        <v>72</v>
      </c>
      <c r="G97" s="63">
        <v>5</v>
      </c>
      <c r="H97" s="63">
        <v>72</v>
      </c>
      <c r="I97" s="63">
        <v>-15</v>
      </c>
      <c r="J97" s="3"/>
      <c r="L97" s="3"/>
      <c r="M97" s="3"/>
      <c r="N97" s="3"/>
      <c r="O97" s="3"/>
      <c r="P97" s="3"/>
      <c r="Q97" s="3"/>
      <c r="R97" s="3"/>
      <c r="S97" s="3"/>
      <c r="T97" s="3"/>
      <c r="U97" s="3" t="s">
        <v>15</v>
      </c>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2:62" x14ac:dyDescent="0.25">
      <c r="B98" s="3" t="s">
        <v>304</v>
      </c>
      <c r="C98" s="63" t="s">
        <v>469</v>
      </c>
      <c r="D98" s="3" t="s">
        <v>455</v>
      </c>
      <c r="E98" s="63" t="s">
        <v>212</v>
      </c>
      <c r="F98" s="63">
        <v>73</v>
      </c>
      <c r="G98" s="63">
        <v>5</v>
      </c>
      <c r="H98" s="63">
        <v>73</v>
      </c>
      <c r="I98" s="63">
        <v>-15</v>
      </c>
      <c r="J98" s="3"/>
      <c r="L98" s="3"/>
      <c r="M98" s="3"/>
      <c r="N98" s="3"/>
      <c r="O98" s="3"/>
      <c r="P98" s="3"/>
      <c r="Q98" s="3"/>
      <c r="R98" s="3"/>
      <c r="S98" s="3"/>
      <c r="T98" s="3"/>
      <c r="U98" s="3" t="s">
        <v>15</v>
      </c>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2:62" x14ac:dyDescent="0.25">
      <c r="B99" s="3" t="s">
        <v>305</v>
      </c>
      <c r="C99" s="63" t="s">
        <v>469</v>
      </c>
      <c r="D99" s="3" t="s">
        <v>456</v>
      </c>
      <c r="E99" s="63" t="s">
        <v>212</v>
      </c>
      <c r="F99" s="63">
        <v>74</v>
      </c>
      <c r="G99" s="63">
        <v>5</v>
      </c>
      <c r="H99" s="63">
        <v>74</v>
      </c>
      <c r="I99" s="63">
        <v>-15</v>
      </c>
      <c r="J99" s="3"/>
      <c r="L99" s="3"/>
      <c r="M99" s="3"/>
      <c r="N99" s="3"/>
      <c r="O99" s="3"/>
      <c r="P99" s="3"/>
      <c r="Q99" s="3"/>
      <c r="R99" s="3"/>
      <c r="S99" s="3"/>
      <c r="T99" s="3"/>
      <c r="U99" s="3" t="s">
        <v>15</v>
      </c>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2:62" x14ac:dyDescent="0.25">
      <c r="B100" s="3" t="s">
        <v>308</v>
      </c>
      <c r="C100" s="63" t="s">
        <v>469</v>
      </c>
      <c r="D100" s="3" t="s">
        <v>457</v>
      </c>
      <c r="E100" s="63" t="s">
        <v>212</v>
      </c>
      <c r="F100" s="63">
        <v>75</v>
      </c>
      <c r="G100" s="63">
        <v>5</v>
      </c>
      <c r="H100" s="63">
        <v>75</v>
      </c>
      <c r="I100" s="63">
        <v>-15</v>
      </c>
      <c r="J100" s="3"/>
      <c r="L100" s="3"/>
      <c r="M100" s="3"/>
      <c r="N100" s="3"/>
      <c r="O100" s="3"/>
      <c r="P100" s="3"/>
      <c r="Q100" s="3"/>
      <c r="R100" s="3"/>
      <c r="S100" s="3"/>
      <c r="T100" s="3"/>
      <c r="U100" s="3" t="s">
        <v>15</v>
      </c>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2:62" x14ac:dyDescent="0.25">
      <c r="B101" s="3" t="s">
        <v>309</v>
      </c>
      <c r="C101" s="63" t="s">
        <v>469</v>
      </c>
      <c r="D101" s="3" t="s">
        <v>458</v>
      </c>
      <c r="E101" s="63" t="s">
        <v>212</v>
      </c>
      <c r="F101" s="63">
        <v>76</v>
      </c>
      <c r="G101" s="63">
        <v>5</v>
      </c>
      <c r="H101" s="63">
        <v>76</v>
      </c>
      <c r="I101" s="63">
        <v>-15</v>
      </c>
      <c r="J101" s="3"/>
      <c r="L101" s="3"/>
      <c r="M101" s="3"/>
      <c r="N101" s="3"/>
      <c r="O101" s="3"/>
      <c r="P101" s="3"/>
      <c r="Q101" s="3"/>
      <c r="R101" s="3"/>
      <c r="S101" s="3"/>
      <c r="T101" s="3"/>
      <c r="U101" s="3" t="s">
        <v>15</v>
      </c>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2:62" x14ac:dyDescent="0.25">
      <c r="B102" s="3" t="s">
        <v>310</v>
      </c>
      <c r="C102" s="63" t="s">
        <v>469</v>
      </c>
      <c r="D102" s="3" t="s">
        <v>459</v>
      </c>
      <c r="E102" s="63" t="s">
        <v>212</v>
      </c>
      <c r="F102" s="63">
        <v>77</v>
      </c>
      <c r="G102" s="63">
        <v>5</v>
      </c>
      <c r="H102" s="63">
        <v>77</v>
      </c>
      <c r="I102" s="63">
        <v>-15</v>
      </c>
      <c r="J102" s="3"/>
      <c r="L102" s="3"/>
      <c r="M102" s="3"/>
      <c r="N102" s="3"/>
      <c r="O102" s="3"/>
      <c r="P102" s="3"/>
      <c r="Q102" s="3"/>
      <c r="R102" s="3"/>
      <c r="S102" s="3"/>
      <c r="T102" s="3"/>
      <c r="U102" s="3" t="s">
        <v>15</v>
      </c>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2:62" x14ac:dyDescent="0.25">
      <c r="B103" s="3" t="s">
        <v>311</v>
      </c>
      <c r="C103" s="63" t="s">
        <v>469</v>
      </c>
      <c r="D103" s="3" t="s">
        <v>460</v>
      </c>
      <c r="E103" s="63" t="s">
        <v>212</v>
      </c>
      <c r="F103" s="63">
        <v>78</v>
      </c>
      <c r="G103" s="63">
        <v>5</v>
      </c>
      <c r="H103" s="63">
        <v>78</v>
      </c>
      <c r="I103" s="63">
        <v>-15</v>
      </c>
      <c r="J103" s="3"/>
      <c r="L103" s="3"/>
      <c r="M103" s="3"/>
      <c r="N103" s="3"/>
      <c r="O103" s="3"/>
      <c r="P103" s="3"/>
      <c r="Q103" s="3"/>
      <c r="R103" s="3"/>
      <c r="S103" s="3"/>
      <c r="T103" s="3"/>
      <c r="U103" s="3" t="s">
        <v>15</v>
      </c>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2:62" x14ac:dyDescent="0.25">
      <c r="B104" s="3" t="s">
        <v>312</v>
      </c>
      <c r="C104" s="63" t="s">
        <v>469</v>
      </c>
      <c r="D104" s="3" t="s">
        <v>461</v>
      </c>
      <c r="E104" s="63" t="s">
        <v>212</v>
      </c>
      <c r="F104" s="63">
        <v>79</v>
      </c>
      <c r="G104" s="63">
        <v>5</v>
      </c>
      <c r="H104" s="63">
        <v>79</v>
      </c>
      <c r="I104" s="63">
        <v>-15</v>
      </c>
      <c r="J104" s="3"/>
      <c r="L104" s="3"/>
      <c r="M104" s="3"/>
      <c r="N104" s="3"/>
      <c r="O104" s="3"/>
      <c r="P104" s="3"/>
      <c r="Q104" s="3"/>
      <c r="R104" s="3"/>
      <c r="S104" s="3"/>
      <c r="T104" s="3"/>
      <c r="U104" s="3" t="s">
        <v>15</v>
      </c>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2:62" x14ac:dyDescent="0.25">
      <c r="B105" s="3" t="s">
        <v>313</v>
      </c>
      <c r="C105" s="63" t="s">
        <v>469</v>
      </c>
      <c r="D105" s="3" t="s">
        <v>462</v>
      </c>
      <c r="E105" s="63" t="s">
        <v>212</v>
      </c>
      <c r="F105" s="63">
        <v>80</v>
      </c>
      <c r="G105" s="63">
        <v>5</v>
      </c>
      <c r="H105" s="63">
        <v>80</v>
      </c>
      <c r="I105" s="63">
        <v>-15</v>
      </c>
      <c r="J105" s="3"/>
      <c r="L105" s="3"/>
      <c r="M105" s="3"/>
      <c r="N105" s="3"/>
      <c r="O105" s="3"/>
      <c r="P105" s="3"/>
      <c r="Q105" s="3"/>
      <c r="R105" s="3"/>
      <c r="S105" s="3"/>
      <c r="T105" s="3"/>
      <c r="U105" s="3" t="s">
        <v>15</v>
      </c>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2:62" x14ac:dyDescent="0.25">
      <c r="B106" s="3" t="s">
        <v>516</v>
      </c>
      <c r="C106" s="63" t="s">
        <v>517</v>
      </c>
      <c r="D106" s="3" t="s">
        <v>516</v>
      </c>
      <c r="E106" s="63"/>
      <c r="F106" s="63"/>
      <c r="G106" s="63"/>
      <c r="H106" s="63"/>
      <c r="I106" s="63"/>
      <c r="J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2:62" x14ac:dyDescent="0.25">
      <c r="B107" s="3" t="s">
        <v>518</v>
      </c>
      <c r="C107" s="63" t="s">
        <v>470</v>
      </c>
      <c r="D107" s="3" t="s">
        <v>463</v>
      </c>
      <c r="E107" s="63" t="s">
        <v>217</v>
      </c>
      <c r="F107" s="63">
        <v>0</v>
      </c>
      <c r="G107" s="63">
        <v>21</v>
      </c>
      <c r="H107" s="63">
        <v>0</v>
      </c>
      <c r="I107" s="63">
        <v>-50</v>
      </c>
      <c r="J107" s="3"/>
      <c r="L107" s="3"/>
      <c r="M107" s="3" t="s">
        <v>15</v>
      </c>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2:62" x14ac:dyDescent="0.25">
      <c r="B108" s="3" t="s">
        <v>519</v>
      </c>
      <c r="C108" s="63" t="s">
        <v>470</v>
      </c>
      <c r="D108" s="3" t="s">
        <v>464</v>
      </c>
      <c r="E108" s="63" t="s">
        <v>217</v>
      </c>
      <c r="F108" s="63">
        <v>0</v>
      </c>
      <c r="G108" s="63">
        <v>-50</v>
      </c>
      <c r="H108" s="63">
        <v>250</v>
      </c>
      <c r="I108" s="63">
        <v>-50</v>
      </c>
      <c r="J108" s="3"/>
      <c r="L108" s="3"/>
      <c r="M108" s="3" t="s">
        <v>15</v>
      </c>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2:62" x14ac:dyDescent="0.25">
      <c r="B109" s="3"/>
      <c r="C109" s="63"/>
      <c r="D109" s="3"/>
      <c r="E109" s="63"/>
      <c r="F109" s="63"/>
      <c r="G109" s="63"/>
      <c r="H109" s="63"/>
      <c r="I109" s="63"/>
      <c r="J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2:62" x14ac:dyDescent="0.25">
      <c r="B110" s="3"/>
      <c r="C110" s="63"/>
      <c r="D110" s="3"/>
      <c r="E110" s="63"/>
      <c r="F110" s="63"/>
      <c r="G110" s="63"/>
      <c r="H110" s="63"/>
      <c r="I110" s="63"/>
      <c r="J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sheetData>
  <autoFilter ref="A6:BJ86" xr:uid="{00000000-0009-0000-0000-000005000000}">
    <sortState xmlns:xlrd2="http://schemas.microsoft.com/office/spreadsheetml/2017/richdata2" ref="A7:BJ86">
      <sortCondition ref="A6:A86"/>
    </sortState>
  </autoFilter>
  <conditionalFormatting sqref="L76:L83 L76:T81 L99:T105 M78:T84 V76:V81 V78:AF84 V99:BJ105 AC76:AG84 AC77:AP79 AF76:AM98 AG82:AQ95 AH82:AN98 AJ76:AN84 AJ76:AQ81 AR23:BB38 AR28:BJ43 AR29:AS49 AR76:BJ98 AR78:AV100 AR7:BB9 AN7:BJ7 L7:AD17 U7:AG22 AE7:AH46 AF7:AM20 L106:BJ289">
    <cfRule type="containsText" dxfId="2355" priority="3713" operator="containsText" text="D">
      <formula>NOT(ISERROR(SEARCH("D",L7)))</formula>
    </cfRule>
    <cfRule type="containsText" dxfId="2354" priority="3714" operator="containsText" text="A">
      <formula>NOT(ISERROR(SEARCH("A",L7)))</formula>
    </cfRule>
  </conditionalFormatting>
  <conditionalFormatting sqref="AR86:BE86">
    <cfRule type="containsText" dxfId="2353" priority="3711" operator="containsText" text="D">
      <formula>NOT(ISERROR(SEARCH("D",AR86)))</formula>
    </cfRule>
    <cfRule type="containsText" dxfId="2352" priority="3712" operator="containsText" text="A">
      <formula>NOT(ISERROR(SEARCH("A",AR86)))</formula>
    </cfRule>
  </conditionalFormatting>
  <conditionalFormatting sqref="L94:T100 V94:AQ100">
    <cfRule type="containsText" dxfId="2351" priority="3669" operator="containsText" text="D">
      <formula>NOT(ISERROR(SEARCH("D",L94)))</formula>
    </cfRule>
    <cfRule type="containsText" dxfId="2350" priority="3670" operator="containsText" text="A">
      <formula>NOT(ISERROR(SEARCH("A",L94)))</formula>
    </cfRule>
  </conditionalFormatting>
  <conditionalFormatting sqref="AF86:AQ86">
    <cfRule type="containsText" dxfId="2349" priority="3667" operator="containsText" text="D">
      <formula>NOT(ISERROR(SEARCH("D",AF86)))</formula>
    </cfRule>
    <cfRule type="containsText" dxfId="2348" priority="3668" operator="containsText" text="A">
      <formula>NOT(ISERROR(SEARCH("A",AF86)))</formula>
    </cfRule>
  </conditionalFormatting>
  <conditionalFormatting sqref="L81:T84 L85:S87 L88:T99 T87 V76:AF80 V77:AH79 V81:AI99 AD76:AH84 AE77:AI84">
    <cfRule type="containsText" dxfId="2347" priority="3665" operator="containsText" text="D">
      <formula>NOT(ISERROR(SEARCH("D",L76)))</formula>
    </cfRule>
    <cfRule type="containsText" dxfId="2346" priority="3666" operator="containsText" text="A">
      <formula>NOT(ISERROR(SEARCH("A",L76)))</formula>
    </cfRule>
  </conditionalFormatting>
  <conditionalFormatting sqref="L86:S86 V86:AI86">
    <cfRule type="containsText" dxfId="2345" priority="3663" operator="containsText" text="D">
      <formula>NOT(ISERROR(SEARCH("D",L86)))</formula>
    </cfRule>
    <cfRule type="containsText" dxfId="2344" priority="3664" operator="containsText" text="A">
      <formula>NOT(ISERROR(SEARCH("A",L86)))</formula>
    </cfRule>
  </conditionalFormatting>
  <conditionalFormatting sqref="L87:S87 V87:AA87">
    <cfRule type="containsText" dxfId="2343" priority="3425" operator="containsText" text="D">
      <formula>NOT(ISERROR(SEARCH("D",L87)))</formula>
    </cfRule>
    <cfRule type="containsText" dxfId="2342" priority="3426" operator="containsText" text="A">
      <formula>NOT(ISERROR(SEARCH("A",L87)))</formula>
    </cfRule>
    <cfRule type="containsText" dxfId="2341" priority="3463" operator="containsText" text="D">
      <formula>NOT(ISERROR(SEARCH("D",L87)))</formula>
    </cfRule>
    <cfRule type="containsText" dxfId="2340" priority="3464" operator="containsText" text="A">
      <formula>NOT(ISERROR(SEARCH("A",L87)))</formula>
    </cfRule>
    <cfRule type="containsText" dxfId="2339" priority="3651" operator="containsText" text="D">
      <formula>NOT(ISERROR(SEARCH("D",L87)))</formula>
    </cfRule>
    <cfRule type="containsText" dxfId="2338" priority="3652" operator="containsText" text="A">
      <formula>NOT(ISERROR(SEARCH("A",L87)))</formula>
    </cfRule>
  </conditionalFormatting>
  <conditionalFormatting sqref="AR8:BJ9">
    <cfRule type="containsText" dxfId="2337" priority="3619" operator="containsText" text="D">
      <formula>NOT(ISERROR(SEARCH("D",AR8)))</formula>
    </cfRule>
    <cfRule type="containsText" dxfId="2336" priority="3620" operator="containsText" text="A">
      <formula>NOT(ISERROR(SEARCH("A",AR8)))</formula>
    </cfRule>
  </conditionalFormatting>
  <conditionalFormatting sqref="AR11:BJ14">
    <cfRule type="containsText" dxfId="2335" priority="3613" operator="containsText" text="D">
      <formula>NOT(ISERROR(SEARCH("D",AR11)))</formula>
    </cfRule>
    <cfRule type="containsText" dxfId="2334" priority="3614" operator="containsText" text="A">
      <formula>NOT(ISERROR(SEARCH("A",AR11)))</formula>
    </cfRule>
  </conditionalFormatting>
  <conditionalFormatting sqref="AR10:BB22 AR15:BJ27 AR16:AS33">
    <cfRule type="containsText" dxfId="2333" priority="3607" operator="containsText" text="D">
      <formula>NOT(ISERROR(SEARCH("D",AR10)))</formula>
    </cfRule>
    <cfRule type="containsText" dxfId="2332" priority="3608" operator="containsText" text="A">
      <formula>NOT(ISERROR(SEARCH("A",AR10)))</formula>
    </cfRule>
  </conditionalFormatting>
  <conditionalFormatting sqref="T76:T81 V76:V81">
    <cfRule type="containsText" dxfId="2331" priority="3601" operator="containsText" text="D">
      <formula>NOT(ISERROR(SEARCH("D",T76)))</formula>
    </cfRule>
    <cfRule type="containsText" dxfId="2330" priority="3602" operator="containsText" text="A">
      <formula>NOT(ISERROR(SEARCH("A",T76)))</formula>
    </cfRule>
  </conditionalFormatting>
  <conditionalFormatting sqref="AR49:BB68 AR54:BJ75 AR56:AV77 AR60:AS81">
    <cfRule type="containsText" dxfId="2329" priority="3599" operator="containsText" text="D">
      <formula>NOT(ISERROR(SEARCH("D",AR49)))</formula>
    </cfRule>
    <cfRule type="containsText" dxfId="2328" priority="3600" operator="containsText" text="A">
      <formula>NOT(ISERROR(SEARCH("A",AR49)))</formula>
    </cfRule>
  </conditionalFormatting>
  <conditionalFormatting sqref="AF76:AL82">
    <cfRule type="containsText" dxfId="2327" priority="3597" operator="containsText" text="D">
      <formula>NOT(ISERROR(SEARCH("D",AF76)))</formula>
    </cfRule>
    <cfRule type="containsText" dxfId="2326" priority="3598" operator="containsText" text="A">
      <formula>NOT(ISERROR(SEARCH("A",AF76)))</formula>
    </cfRule>
  </conditionalFormatting>
  <conditionalFormatting sqref="V76:AH81 V77:AI79 AD76:AI83">
    <cfRule type="containsText" dxfId="2325" priority="3595" operator="containsText" text="D">
      <formula>NOT(ISERROR(SEARCH("D",V76)))</formula>
    </cfRule>
    <cfRule type="containsText" dxfId="2324" priority="3596" operator="containsText" text="A">
      <formula>NOT(ISERROR(SEARCH("A",V76)))</formula>
    </cfRule>
  </conditionalFormatting>
  <conditionalFormatting sqref="P76:P82">
    <cfRule type="containsText" dxfId="2323" priority="3589" operator="containsText" text="D">
      <formula>NOT(ISERROR(SEARCH("D",P76)))</formula>
    </cfRule>
    <cfRule type="containsText" dxfId="2322" priority="3590" operator="containsText" text="A">
      <formula>NOT(ISERROR(SEARCH("A",P76)))</formula>
    </cfRule>
  </conditionalFormatting>
  <conditionalFormatting sqref="P76:P83">
    <cfRule type="containsText" dxfId="2321" priority="3587" operator="containsText" text="D">
      <formula>NOT(ISERROR(SEARCH("D",P76)))</formula>
    </cfRule>
    <cfRule type="containsText" dxfId="2320" priority="3588" operator="containsText" text="A">
      <formula>NOT(ISERROR(SEARCH("A",P76)))</formula>
    </cfRule>
  </conditionalFormatting>
  <conditionalFormatting sqref="V76:Z76">
    <cfRule type="containsText" dxfId="2319" priority="3265" operator="containsText" text="D">
      <formula>NOT(ISERROR(SEARCH("D",V76)))</formula>
    </cfRule>
    <cfRule type="containsText" dxfId="2318" priority="3266" operator="containsText" text="A">
      <formula>NOT(ISERROR(SEARCH("A",V76)))</formula>
    </cfRule>
    <cfRule type="containsText" dxfId="2317" priority="3421" operator="containsText" text="D">
      <formula>NOT(ISERROR(SEARCH("D",V76)))</formula>
    </cfRule>
    <cfRule type="containsText" dxfId="2316" priority="3422" operator="containsText" text="A">
      <formula>NOT(ISERROR(SEARCH("A",V76)))</formula>
    </cfRule>
    <cfRule type="containsText" dxfId="2315" priority="3431" operator="containsText" text="D">
      <formula>NOT(ISERROR(SEARCH("D",V76)))</formula>
    </cfRule>
    <cfRule type="containsText" dxfId="2314" priority="3432" operator="containsText" text="A">
      <formula>NOT(ISERROR(SEARCH("A",V76)))</formula>
    </cfRule>
    <cfRule type="containsText" dxfId="2313" priority="3447" operator="containsText" text="D">
      <formula>NOT(ISERROR(SEARCH("D",V76)))</formula>
    </cfRule>
    <cfRule type="containsText" dxfId="2312" priority="3448" operator="containsText" text="A">
      <formula>NOT(ISERROR(SEARCH("A",V76)))</formula>
    </cfRule>
    <cfRule type="containsText" dxfId="2311" priority="3459" operator="containsText" text="D">
      <formula>NOT(ISERROR(SEARCH("D",V76)))</formula>
    </cfRule>
    <cfRule type="containsText" dxfId="2310" priority="3460" operator="containsText" text="A">
      <formula>NOT(ISERROR(SEARCH("A",V76)))</formula>
    </cfRule>
    <cfRule type="containsText" dxfId="2309" priority="3499" operator="containsText" text="D">
      <formula>NOT(ISERROR(SEARCH("D",V76)))</formula>
    </cfRule>
    <cfRule type="containsText" dxfId="2308" priority="3500" operator="containsText" text="A">
      <formula>NOT(ISERROR(SEARCH("A",V76)))</formula>
    </cfRule>
    <cfRule type="containsText" dxfId="2307" priority="3515" operator="containsText" text="D">
      <formula>NOT(ISERROR(SEARCH("D",V76)))</formula>
    </cfRule>
    <cfRule type="containsText" dxfId="2306" priority="3516" operator="containsText" text="A">
      <formula>NOT(ISERROR(SEARCH("A",V76)))</formula>
    </cfRule>
    <cfRule type="containsText" dxfId="2305" priority="3585" operator="containsText" text="D">
      <formula>NOT(ISERROR(SEARCH("D",V76)))</formula>
    </cfRule>
    <cfRule type="containsText" dxfId="2304" priority="3586" operator="containsText" text="A">
      <formula>NOT(ISERROR(SEARCH("A",V76)))</formula>
    </cfRule>
  </conditionalFormatting>
  <conditionalFormatting sqref="W76:W79">
    <cfRule type="containsText" dxfId="2303" priority="1389" operator="containsText" text="D">
      <formula>NOT(ISERROR(SEARCH("D",W76)))</formula>
    </cfRule>
    <cfRule type="containsText" dxfId="2302" priority="1390" operator="containsText" text="A">
      <formula>NOT(ISERROR(SEARCH("A",W76)))</formula>
    </cfRule>
    <cfRule type="containsText" dxfId="2301" priority="3577" operator="containsText" text="D">
      <formula>NOT(ISERROR(SEARCH("D",W76)))</formula>
    </cfRule>
    <cfRule type="containsText" dxfId="2300" priority="3578" operator="containsText" text="A">
      <formula>NOT(ISERROR(SEARCH("A",W76)))</formula>
    </cfRule>
  </conditionalFormatting>
  <conditionalFormatting sqref="Y76:Y80 AF7:AF19 AH7:AH19">
    <cfRule type="containsText" dxfId="2299" priority="647" operator="containsText" text="D">
      <formula>NOT(ISERROR(SEARCH("D",Y7)))</formula>
    </cfRule>
    <cfRule type="containsText" dxfId="2298" priority="648" operator="containsText" text="A">
      <formula>NOT(ISERROR(SEARCH("A",Y7)))</formula>
    </cfRule>
    <cfRule type="containsText" dxfId="2297" priority="769" operator="containsText" text="D">
      <formula>NOT(ISERROR(SEARCH("D",Y7)))</formula>
    </cfRule>
    <cfRule type="containsText" dxfId="2296" priority="770" operator="containsText" text="A">
      <formula>NOT(ISERROR(SEARCH("A",Y7)))</formula>
    </cfRule>
    <cfRule type="containsText" dxfId="2295" priority="1387" operator="containsText" text="D">
      <formula>NOT(ISERROR(SEARCH("D",Y7)))</formula>
    </cfRule>
    <cfRule type="containsText" dxfId="2294" priority="1388" operator="containsText" text="A">
      <formula>NOT(ISERROR(SEARCH("A",Y7)))</formula>
    </cfRule>
    <cfRule type="containsText" dxfId="2293" priority="3575" operator="containsText" text="D">
      <formula>NOT(ISERROR(SEARCH("D",Y7)))</formula>
    </cfRule>
    <cfRule type="containsText" dxfId="2292" priority="3576" operator="containsText" text="A">
      <formula>NOT(ISERROR(SEARCH("A",Y7)))</formula>
    </cfRule>
  </conditionalFormatting>
  <conditionalFormatting sqref="AA76:AA81">
    <cfRule type="containsText" dxfId="2291" priority="117" operator="containsText" text="D">
      <formula>NOT(ISERROR(SEARCH("D",AA76)))</formula>
    </cfRule>
    <cfRule type="containsText" dxfId="2290" priority="118" operator="containsText" text="A">
      <formula>NOT(ISERROR(SEARCH("A",AA76)))</formula>
    </cfRule>
    <cfRule type="containsText" dxfId="2289" priority="265" operator="containsText" text="D">
      <formula>NOT(ISERROR(SEARCH("D",AA76)))</formula>
    </cfRule>
    <cfRule type="containsText" dxfId="2288" priority="266" operator="containsText" text="A">
      <formula>NOT(ISERROR(SEARCH("A",AA76)))</formula>
    </cfRule>
    <cfRule type="containsText" dxfId="2287" priority="393" operator="containsText" text="D">
      <formula>NOT(ISERROR(SEARCH("D",AA76)))</formula>
    </cfRule>
    <cfRule type="containsText" dxfId="2286" priority="394" operator="containsText" text="A">
      <formula>NOT(ISERROR(SEARCH("A",AA76)))</formula>
    </cfRule>
    <cfRule type="containsText" dxfId="2285" priority="495" operator="containsText" text="D">
      <formula>NOT(ISERROR(SEARCH("D",AA76)))</formula>
    </cfRule>
    <cfRule type="containsText" dxfId="2284" priority="496" operator="containsText" text="A">
      <formula>NOT(ISERROR(SEARCH("A",AA76)))</formula>
    </cfRule>
    <cfRule type="containsText" dxfId="2283" priority="501" operator="containsText" text="D">
      <formula>NOT(ISERROR(SEARCH("D",AA76)))</formula>
    </cfRule>
    <cfRule type="containsText" dxfId="2282" priority="502" operator="containsText" text="A">
      <formula>NOT(ISERROR(SEARCH("A",AA76)))</formula>
    </cfRule>
    <cfRule type="containsText" dxfId="2281" priority="645" operator="containsText" text="D">
      <formula>NOT(ISERROR(SEARCH("D",AA76)))</formula>
    </cfRule>
    <cfRule type="containsText" dxfId="2280" priority="646" operator="containsText" text="A">
      <formula>NOT(ISERROR(SEARCH("A",AA76)))</formula>
    </cfRule>
    <cfRule type="containsText" dxfId="2279" priority="759" operator="containsText" text="D">
      <formula>NOT(ISERROR(SEARCH("D",AA76)))</formula>
    </cfRule>
    <cfRule type="containsText" dxfId="2278" priority="760" operator="containsText" text="A">
      <formula>NOT(ISERROR(SEARCH("A",AA76)))</formula>
    </cfRule>
    <cfRule type="containsText" dxfId="2277" priority="767" operator="containsText" text="D">
      <formula>NOT(ISERROR(SEARCH("D",AA76)))</formula>
    </cfRule>
    <cfRule type="containsText" dxfId="2276" priority="768" operator="containsText" text="A">
      <formula>NOT(ISERROR(SEARCH("A",AA76)))</formula>
    </cfRule>
    <cfRule type="containsText" dxfId="2275" priority="1375" operator="containsText" text="D">
      <formula>NOT(ISERROR(SEARCH("D",AA76)))</formula>
    </cfRule>
    <cfRule type="containsText" dxfId="2274" priority="1376" operator="containsText" text="A">
      <formula>NOT(ISERROR(SEARCH("A",AA76)))</formula>
    </cfRule>
    <cfRule type="containsText" dxfId="2273" priority="1385" operator="containsText" text="D">
      <formula>NOT(ISERROR(SEARCH("D",AA76)))</formula>
    </cfRule>
    <cfRule type="containsText" dxfId="2272" priority="1386" operator="containsText" text="A">
      <formula>NOT(ISERROR(SEARCH("A",AA76)))</formula>
    </cfRule>
    <cfRule type="containsText" dxfId="2271" priority="3529" operator="containsText" text="D">
      <formula>NOT(ISERROR(SEARCH("D",AA76)))</formula>
    </cfRule>
    <cfRule type="containsText" dxfId="2270" priority="3530" operator="containsText" text="A">
      <formula>NOT(ISERROR(SEARCH("A",AA76)))</formula>
    </cfRule>
    <cfRule type="containsText" dxfId="2269" priority="3573" operator="containsText" text="D">
      <formula>NOT(ISERROR(SEARCH("D",AA76)))</formula>
    </cfRule>
    <cfRule type="containsText" dxfId="2268" priority="3574" operator="containsText" text="A">
      <formula>NOT(ISERROR(SEARCH("A",AA76)))</formula>
    </cfRule>
  </conditionalFormatting>
  <conditionalFormatting sqref="AC76:AC81">
    <cfRule type="containsText" dxfId="2267" priority="115" operator="containsText" text="D">
      <formula>NOT(ISERROR(SEARCH("D",AC76)))</formula>
    </cfRule>
    <cfRule type="containsText" dxfId="2266" priority="116" operator="containsText" text="A">
      <formula>NOT(ISERROR(SEARCH("A",AC76)))</formula>
    </cfRule>
    <cfRule type="containsText" dxfId="2265" priority="123" operator="containsText" text="D">
      <formula>NOT(ISERROR(SEARCH("D",AC76)))</formula>
    </cfRule>
    <cfRule type="containsText" dxfId="2264" priority="124" operator="containsText" text="A">
      <formula>NOT(ISERROR(SEARCH("A",AC76)))</formula>
    </cfRule>
    <cfRule type="containsText" dxfId="2263" priority="263" operator="containsText" text="D">
      <formula>NOT(ISERROR(SEARCH("D",AC76)))</formula>
    </cfRule>
    <cfRule type="containsText" dxfId="2262" priority="264" operator="containsText" text="A">
      <formula>NOT(ISERROR(SEARCH("A",AC76)))</formula>
    </cfRule>
    <cfRule type="containsText" dxfId="2261" priority="271" operator="containsText" text="D">
      <formula>NOT(ISERROR(SEARCH("D",AC76)))</formula>
    </cfRule>
    <cfRule type="containsText" dxfId="2260" priority="272" operator="containsText" text="A">
      <formula>NOT(ISERROR(SEARCH("A",AC76)))</formula>
    </cfRule>
    <cfRule type="containsText" dxfId="2259" priority="391" operator="containsText" text="D">
      <formula>NOT(ISERROR(SEARCH("D",AC76)))</formula>
    </cfRule>
    <cfRule type="containsText" dxfId="2258" priority="392" operator="containsText" text="A">
      <formula>NOT(ISERROR(SEARCH("A",AC76)))</formula>
    </cfRule>
    <cfRule type="containsText" dxfId="2257" priority="399" operator="containsText" text="D">
      <formula>NOT(ISERROR(SEARCH("D",AC76)))</formula>
    </cfRule>
    <cfRule type="containsText" dxfId="2256" priority="400" operator="containsText" text="A">
      <formula>NOT(ISERROR(SEARCH("A",AC76)))</formula>
    </cfRule>
    <cfRule type="containsText" dxfId="2255" priority="493" operator="containsText" text="D">
      <formula>NOT(ISERROR(SEARCH("D",AC76)))</formula>
    </cfRule>
    <cfRule type="containsText" dxfId="2254" priority="494" operator="containsText" text="A">
      <formula>NOT(ISERROR(SEARCH("A",AC76)))</formula>
    </cfRule>
    <cfRule type="containsText" dxfId="2253" priority="499" operator="containsText" text="D">
      <formula>NOT(ISERROR(SEARCH("D",AC76)))</formula>
    </cfRule>
    <cfRule type="containsText" dxfId="2252" priority="500" operator="containsText" text="A">
      <formula>NOT(ISERROR(SEARCH("A",AC76)))</formula>
    </cfRule>
    <cfRule type="containsText" dxfId="2251" priority="643" operator="containsText" text="D">
      <formula>NOT(ISERROR(SEARCH("D",AC76)))</formula>
    </cfRule>
    <cfRule type="containsText" dxfId="2250" priority="644" operator="containsText" text="A">
      <formula>NOT(ISERROR(SEARCH("A",AC76)))</formula>
    </cfRule>
    <cfRule type="containsText" dxfId="2249" priority="653" operator="containsText" text="D">
      <formula>NOT(ISERROR(SEARCH("D",AC76)))</formula>
    </cfRule>
    <cfRule type="containsText" dxfId="2248" priority="654" operator="containsText" text="A">
      <formula>NOT(ISERROR(SEARCH("A",AC76)))</formula>
    </cfRule>
    <cfRule type="containsText" dxfId="2247" priority="757" operator="containsText" text="D">
      <formula>NOT(ISERROR(SEARCH("D",AC76)))</formula>
    </cfRule>
    <cfRule type="containsText" dxfId="2246" priority="758" operator="containsText" text="A">
      <formula>NOT(ISERROR(SEARCH("A",AC76)))</formula>
    </cfRule>
    <cfRule type="containsText" dxfId="2245" priority="765" operator="containsText" text="D">
      <formula>NOT(ISERROR(SEARCH("D",AC76)))</formula>
    </cfRule>
    <cfRule type="containsText" dxfId="2244" priority="766" operator="containsText" text="A">
      <formula>NOT(ISERROR(SEARCH("A",AC76)))</formula>
    </cfRule>
    <cfRule type="containsText" dxfId="2243" priority="1373" operator="containsText" text="D">
      <formula>NOT(ISERROR(SEARCH("D",AC76)))</formula>
    </cfRule>
    <cfRule type="containsText" dxfId="2242" priority="1374" operator="containsText" text="A">
      <formula>NOT(ISERROR(SEARCH("A",AC76)))</formula>
    </cfRule>
    <cfRule type="containsText" dxfId="2241" priority="1383" operator="containsText" text="D">
      <formula>NOT(ISERROR(SEARCH("D",AC76)))</formula>
    </cfRule>
    <cfRule type="containsText" dxfId="2240" priority="1384" operator="containsText" text="A">
      <formula>NOT(ISERROR(SEARCH("A",AC76)))</formula>
    </cfRule>
    <cfRule type="containsText" dxfId="2239" priority="3527" operator="containsText" text="D">
      <formula>NOT(ISERROR(SEARCH("D",AC76)))</formula>
    </cfRule>
    <cfRule type="containsText" dxfId="2238" priority="3528" operator="containsText" text="A">
      <formula>NOT(ISERROR(SEARCH("A",AC76)))</formula>
    </cfRule>
    <cfRule type="containsText" dxfId="2237" priority="3571" operator="containsText" text="D">
      <formula>NOT(ISERROR(SEARCH("D",AC76)))</formula>
    </cfRule>
    <cfRule type="containsText" dxfId="2236" priority="3572" operator="containsText" text="A">
      <formula>NOT(ISERROR(SEARCH("A",AC76)))</formula>
    </cfRule>
  </conditionalFormatting>
  <conditionalFormatting sqref="AE76:AE81">
    <cfRule type="containsText" dxfId="2235" priority="113" operator="containsText" text="D">
      <formula>NOT(ISERROR(SEARCH("D",AE76)))</formula>
    </cfRule>
    <cfRule type="containsText" dxfId="2234" priority="114" operator="containsText" text="A">
      <formula>NOT(ISERROR(SEARCH("A",AE76)))</formula>
    </cfRule>
    <cfRule type="containsText" dxfId="2233" priority="121" operator="containsText" text="D">
      <formula>NOT(ISERROR(SEARCH("D",AE76)))</formula>
    </cfRule>
    <cfRule type="containsText" dxfId="2232" priority="122" operator="containsText" text="A">
      <formula>NOT(ISERROR(SEARCH("A",AE76)))</formula>
    </cfRule>
    <cfRule type="containsText" dxfId="2231" priority="261" operator="containsText" text="D">
      <formula>NOT(ISERROR(SEARCH("D",AE76)))</formula>
    </cfRule>
    <cfRule type="containsText" dxfId="2230" priority="262" operator="containsText" text="A">
      <formula>NOT(ISERROR(SEARCH("A",AE76)))</formula>
    </cfRule>
    <cfRule type="containsText" dxfId="2229" priority="269" operator="containsText" text="D">
      <formula>NOT(ISERROR(SEARCH("D",AE76)))</formula>
    </cfRule>
    <cfRule type="containsText" dxfId="2228" priority="270" operator="containsText" text="A">
      <formula>NOT(ISERROR(SEARCH("A",AE76)))</formula>
    </cfRule>
    <cfRule type="containsText" dxfId="2227" priority="389" operator="containsText" text="D">
      <formula>NOT(ISERROR(SEARCH("D",AE76)))</formula>
    </cfRule>
    <cfRule type="containsText" dxfId="2226" priority="390" operator="containsText" text="A">
      <formula>NOT(ISERROR(SEARCH("A",AE76)))</formula>
    </cfRule>
    <cfRule type="containsText" dxfId="2225" priority="397" operator="containsText" text="D">
      <formula>NOT(ISERROR(SEARCH("D",AE76)))</formula>
    </cfRule>
    <cfRule type="containsText" dxfId="2224" priority="398" operator="containsText" text="A">
      <formula>NOT(ISERROR(SEARCH("A",AE76)))</formula>
    </cfRule>
    <cfRule type="containsText" dxfId="2223" priority="491" operator="containsText" text="D">
      <formula>NOT(ISERROR(SEARCH("D",AE76)))</formula>
    </cfRule>
    <cfRule type="containsText" dxfId="2222" priority="492" operator="containsText" text="A">
      <formula>NOT(ISERROR(SEARCH("A",AE76)))</formula>
    </cfRule>
    <cfRule type="containsText" dxfId="2221" priority="497" operator="containsText" text="D">
      <formula>NOT(ISERROR(SEARCH("D",AE76)))</formula>
    </cfRule>
    <cfRule type="containsText" dxfId="2220" priority="498" operator="containsText" text="A">
      <formula>NOT(ISERROR(SEARCH("A",AE76)))</formula>
    </cfRule>
    <cfRule type="containsText" dxfId="2219" priority="641" operator="containsText" text="D">
      <formula>NOT(ISERROR(SEARCH("D",AE76)))</formula>
    </cfRule>
    <cfRule type="containsText" dxfId="2218" priority="642" operator="containsText" text="A">
      <formula>NOT(ISERROR(SEARCH("A",AE76)))</formula>
    </cfRule>
    <cfRule type="containsText" dxfId="2217" priority="651" operator="containsText" text="D">
      <formula>NOT(ISERROR(SEARCH("D",AE76)))</formula>
    </cfRule>
    <cfRule type="containsText" dxfId="2216" priority="652" operator="containsText" text="A">
      <formula>NOT(ISERROR(SEARCH("A",AE76)))</formula>
    </cfRule>
    <cfRule type="containsText" dxfId="2215" priority="755" operator="containsText" text="D">
      <formula>NOT(ISERROR(SEARCH("D",AE76)))</formula>
    </cfRule>
    <cfRule type="containsText" dxfId="2214" priority="756" operator="containsText" text="A">
      <formula>NOT(ISERROR(SEARCH("A",AE76)))</formula>
    </cfRule>
    <cfRule type="containsText" dxfId="2213" priority="763" operator="containsText" text="D">
      <formula>NOT(ISERROR(SEARCH("D",AE76)))</formula>
    </cfRule>
    <cfRule type="containsText" dxfId="2212" priority="764" operator="containsText" text="A">
      <formula>NOT(ISERROR(SEARCH("A",AE76)))</formula>
    </cfRule>
    <cfRule type="containsText" dxfId="2211" priority="1371" operator="containsText" text="D">
      <formula>NOT(ISERROR(SEARCH("D",AE76)))</formula>
    </cfRule>
    <cfRule type="containsText" dxfId="2210" priority="1372" operator="containsText" text="A">
      <formula>NOT(ISERROR(SEARCH("A",AE76)))</formula>
    </cfRule>
    <cfRule type="containsText" dxfId="2209" priority="1381" operator="containsText" text="D">
      <formula>NOT(ISERROR(SEARCH("D",AE76)))</formula>
    </cfRule>
    <cfRule type="containsText" dxfId="2208" priority="1382" operator="containsText" text="A">
      <formula>NOT(ISERROR(SEARCH("A",AE76)))</formula>
    </cfRule>
    <cfRule type="containsText" dxfId="2207" priority="3525" operator="containsText" text="D">
      <formula>NOT(ISERROR(SEARCH("D",AE76)))</formula>
    </cfRule>
    <cfRule type="containsText" dxfId="2206" priority="3526" operator="containsText" text="A">
      <formula>NOT(ISERROR(SEARCH("A",AE76)))</formula>
    </cfRule>
    <cfRule type="containsText" dxfId="2205" priority="3569" operator="containsText" text="D">
      <formula>NOT(ISERROR(SEARCH("D",AE76)))</formula>
    </cfRule>
    <cfRule type="containsText" dxfId="2204" priority="3570" operator="containsText" text="A">
      <formula>NOT(ISERROR(SEARCH("A",AE76)))</formula>
    </cfRule>
  </conditionalFormatting>
  <conditionalFormatting sqref="AR39:BB48 AR44:BJ53 AR45:AS61 AR53:AV55">
    <cfRule type="containsText" dxfId="2203" priority="3567" operator="containsText" text="D">
      <formula>NOT(ISERROR(SEARCH("D",AR39)))</formula>
    </cfRule>
    <cfRule type="containsText" dxfId="2202" priority="3568" operator="containsText" text="A">
      <formula>NOT(ISERROR(SEARCH("A",AR39)))</formula>
    </cfRule>
  </conditionalFormatting>
  <conditionalFormatting sqref="AR88:AV88">
    <cfRule type="containsText" dxfId="2201" priority="3551" operator="containsText" text="D">
      <formula>NOT(ISERROR(SEARCH("D",AR88)))</formula>
    </cfRule>
    <cfRule type="containsText" dxfId="2200" priority="3552" operator="containsText" text="A">
      <formula>NOT(ISERROR(SEARCH("A",AR88)))</formula>
    </cfRule>
  </conditionalFormatting>
  <conditionalFormatting sqref="AF88:AQ88">
    <cfRule type="containsText" dxfId="2199" priority="3549" operator="containsText" text="D">
      <formula>NOT(ISERROR(SEARCH("D",AF88)))</formula>
    </cfRule>
    <cfRule type="containsText" dxfId="2198" priority="3550" operator="containsText" text="A">
      <formula>NOT(ISERROR(SEARCH("A",AF88)))</formula>
    </cfRule>
  </conditionalFormatting>
  <conditionalFormatting sqref="L88:T88 V88:AI88">
    <cfRule type="containsText" dxfId="2197" priority="3487" operator="containsText" text="D">
      <formula>NOT(ISERROR(SEARCH("D",L88)))</formula>
    </cfRule>
    <cfRule type="containsText" dxfId="2196" priority="3488" operator="containsText" text="A">
      <formula>NOT(ISERROR(SEARCH("A",L88)))</formula>
    </cfRule>
    <cfRule type="containsText" dxfId="2195" priority="3547" operator="containsText" text="D">
      <formula>NOT(ISERROR(SEARCH("D",L88)))</formula>
    </cfRule>
    <cfRule type="containsText" dxfId="2194" priority="3548" operator="containsText" text="A">
      <formula>NOT(ISERROR(SEARCH("A",L88)))</formula>
    </cfRule>
  </conditionalFormatting>
  <conditionalFormatting sqref="L89:T89 V89:AA89">
    <cfRule type="containsText" dxfId="2193" priority="3237" operator="containsText" text="D">
      <formula>NOT(ISERROR(SEARCH("D",L89)))</formula>
    </cfRule>
    <cfRule type="containsText" dxfId="2192" priority="3238" operator="containsText" text="A">
      <formula>NOT(ISERROR(SEARCH("A",L89)))</formula>
    </cfRule>
    <cfRule type="containsText" dxfId="2191" priority="3251" operator="containsText" text="D">
      <formula>NOT(ISERROR(SEARCH("D",L89)))</formula>
    </cfRule>
    <cfRule type="containsText" dxfId="2190" priority="3252" operator="containsText" text="A">
      <formula>NOT(ISERROR(SEARCH("A",L89)))</formula>
    </cfRule>
    <cfRule type="containsText" dxfId="2189" priority="3485" operator="containsText" text="D">
      <formula>NOT(ISERROR(SEARCH("D",L89)))</formula>
    </cfRule>
    <cfRule type="containsText" dxfId="2188" priority="3486" operator="containsText" text="A">
      <formula>NOT(ISERROR(SEARCH("A",L89)))</formula>
    </cfRule>
    <cfRule type="containsText" dxfId="2187" priority="3545" operator="containsText" text="D">
      <formula>NOT(ISERROR(SEARCH("D",L89)))</formula>
    </cfRule>
    <cfRule type="containsText" dxfId="2186" priority="3546" operator="containsText" text="A">
      <formula>NOT(ISERROR(SEARCH("A",L89)))</formula>
    </cfRule>
  </conditionalFormatting>
  <conditionalFormatting sqref="V77:Z77">
    <cfRule type="containsText" dxfId="2185" priority="1219" operator="containsText" text="D">
      <formula>NOT(ISERROR(SEARCH("D",V77)))</formula>
    </cfRule>
    <cfRule type="containsText" dxfId="2184" priority="1220" operator="containsText" text="A">
      <formula>NOT(ISERROR(SEARCH("A",V77)))</formula>
    </cfRule>
    <cfRule type="containsText" dxfId="2183" priority="1225" operator="containsText" text="D">
      <formula>NOT(ISERROR(SEARCH("D",V77)))</formula>
    </cfRule>
    <cfRule type="containsText" dxfId="2182" priority="1226" operator="containsText" text="A">
      <formula>NOT(ISERROR(SEARCH("A",V77)))</formula>
    </cfRule>
    <cfRule type="containsText" dxfId="2181" priority="1229" operator="containsText" text="D">
      <formula>NOT(ISERROR(SEARCH("D",V77)))</formula>
    </cfRule>
    <cfRule type="containsText" dxfId="2180" priority="1230" operator="containsText" text="A">
      <formula>NOT(ISERROR(SEARCH("A",V77)))</formula>
    </cfRule>
    <cfRule type="containsText" dxfId="2179" priority="1233" operator="containsText" text="D">
      <formula>NOT(ISERROR(SEARCH("D",V77)))</formula>
    </cfRule>
    <cfRule type="containsText" dxfId="2178" priority="1234" operator="containsText" text="A">
      <formula>NOT(ISERROR(SEARCH("A",V77)))</formula>
    </cfRule>
    <cfRule type="containsText" dxfId="2177" priority="1235" operator="containsText" text="D">
      <formula>NOT(ISERROR(SEARCH("D",V77)))</formula>
    </cfRule>
    <cfRule type="containsText" dxfId="2176" priority="1236" operator="containsText" text="A">
      <formula>NOT(ISERROR(SEARCH("A",V77)))</formula>
    </cfRule>
    <cfRule type="containsText" dxfId="2175" priority="1241" operator="containsText" text="D">
      <formula>NOT(ISERROR(SEARCH("D",V77)))</formula>
    </cfRule>
    <cfRule type="containsText" dxfId="2174" priority="1242" operator="containsText" text="A">
      <formula>NOT(ISERROR(SEARCH("A",V77)))</formula>
    </cfRule>
    <cfRule type="containsText" dxfId="2173" priority="1245" operator="containsText" text="D">
      <formula>NOT(ISERROR(SEARCH("D",V77)))</formula>
    </cfRule>
    <cfRule type="containsText" dxfId="2172" priority="1246" operator="containsText" text="A">
      <formula>NOT(ISERROR(SEARCH("A",V77)))</formula>
    </cfRule>
    <cfRule type="containsText" dxfId="2171" priority="1249" operator="containsText" text="D">
      <formula>NOT(ISERROR(SEARCH("D",V77)))</formula>
    </cfRule>
    <cfRule type="containsText" dxfId="2170" priority="1250" operator="containsText" text="A">
      <formula>NOT(ISERROR(SEARCH("A",V77)))</formula>
    </cfRule>
    <cfRule type="containsText" dxfId="2169" priority="3235" operator="containsText" text="D">
      <formula>NOT(ISERROR(SEARCH("D",V77)))</formula>
    </cfRule>
    <cfRule type="containsText" dxfId="2168" priority="3236" operator="containsText" text="A">
      <formula>NOT(ISERROR(SEARCH("A",V77)))</formula>
    </cfRule>
    <cfRule type="containsText" dxfId="2167" priority="3249" operator="containsText" text="D">
      <formula>NOT(ISERROR(SEARCH("D",V77)))</formula>
    </cfRule>
    <cfRule type="containsText" dxfId="2166" priority="3250" operator="containsText" text="A">
      <formula>NOT(ISERROR(SEARCH("A",V77)))</formula>
    </cfRule>
    <cfRule type="containsText" dxfId="2165" priority="3263" operator="containsText" text="D">
      <formula>NOT(ISERROR(SEARCH("D",V77)))</formula>
    </cfRule>
    <cfRule type="containsText" dxfId="2164" priority="3264" operator="containsText" text="A">
      <formula>NOT(ISERROR(SEARCH("A",V77)))</formula>
    </cfRule>
    <cfRule type="containsText" dxfId="2163" priority="3417" operator="containsText" text="D">
      <formula>NOT(ISERROR(SEARCH("D",V77)))</formula>
    </cfRule>
    <cfRule type="containsText" dxfId="2162" priority="3418" operator="containsText" text="A">
      <formula>NOT(ISERROR(SEARCH("A",V77)))</formula>
    </cfRule>
    <cfRule type="containsText" dxfId="2161" priority="3429" operator="containsText" text="D">
      <formula>NOT(ISERROR(SEARCH("D",V77)))</formula>
    </cfRule>
    <cfRule type="containsText" dxfId="2160" priority="3430" operator="containsText" text="A">
      <formula>NOT(ISERROR(SEARCH("A",V77)))</formula>
    </cfRule>
    <cfRule type="containsText" dxfId="2159" priority="3445" operator="containsText" text="D">
      <formula>NOT(ISERROR(SEARCH("D",V77)))</formula>
    </cfRule>
    <cfRule type="containsText" dxfId="2158" priority="3446" operator="containsText" text="A">
      <formula>NOT(ISERROR(SEARCH("A",V77)))</formula>
    </cfRule>
    <cfRule type="containsText" dxfId="2157" priority="3483" operator="containsText" text="D">
      <formula>NOT(ISERROR(SEARCH("D",V77)))</formula>
    </cfRule>
    <cfRule type="containsText" dxfId="2156" priority="3484" operator="containsText" text="A">
      <formula>NOT(ISERROR(SEARCH("A",V77)))</formula>
    </cfRule>
    <cfRule type="containsText" dxfId="2155" priority="3497" operator="containsText" text="D">
      <formula>NOT(ISERROR(SEARCH("D",V77)))</formula>
    </cfRule>
    <cfRule type="containsText" dxfId="2154" priority="3498" operator="containsText" text="A">
      <formula>NOT(ISERROR(SEARCH("A",V77)))</formula>
    </cfRule>
    <cfRule type="containsText" dxfId="2153" priority="3513" operator="containsText" text="D">
      <formula>NOT(ISERROR(SEARCH("D",V77)))</formula>
    </cfRule>
    <cfRule type="containsText" dxfId="2152" priority="3514" operator="containsText" text="A">
      <formula>NOT(ISERROR(SEARCH("A",V77)))</formula>
    </cfRule>
    <cfRule type="containsText" dxfId="2151" priority="3543" operator="containsText" text="D">
      <formula>NOT(ISERROR(SEARCH("D",V77)))</formula>
    </cfRule>
    <cfRule type="containsText" dxfId="2150" priority="3544" operator="containsText" text="A">
      <formula>NOT(ISERROR(SEARCH("A",V77)))</formula>
    </cfRule>
  </conditionalFormatting>
  <conditionalFormatting sqref="W76:W80">
    <cfRule type="containsText" dxfId="2149" priority="1379" operator="containsText" text="D">
      <formula>NOT(ISERROR(SEARCH("D",W76)))</formula>
    </cfRule>
    <cfRule type="containsText" dxfId="2148" priority="1380" operator="containsText" text="A">
      <formula>NOT(ISERROR(SEARCH("A",W76)))</formula>
    </cfRule>
    <cfRule type="containsText" dxfId="2147" priority="3533" operator="containsText" text="D">
      <formula>NOT(ISERROR(SEARCH("D",W76)))</formula>
    </cfRule>
    <cfRule type="containsText" dxfId="2146" priority="3534" operator="containsText" text="A">
      <formula>NOT(ISERROR(SEARCH("A",W76)))</formula>
    </cfRule>
  </conditionalFormatting>
  <conditionalFormatting sqref="Y76:Y81">
    <cfRule type="containsText" dxfId="2145" priority="761" operator="containsText" text="D">
      <formula>NOT(ISERROR(SEARCH("D",Y76)))</formula>
    </cfRule>
    <cfRule type="containsText" dxfId="2144" priority="762" operator="containsText" text="A">
      <formula>NOT(ISERROR(SEARCH("A",Y76)))</formula>
    </cfRule>
    <cfRule type="containsText" dxfId="2143" priority="1377" operator="containsText" text="D">
      <formula>NOT(ISERROR(SEARCH("D",Y76)))</formula>
    </cfRule>
    <cfRule type="containsText" dxfId="2142" priority="1378" operator="containsText" text="A">
      <formula>NOT(ISERROR(SEARCH("A",Y76)))</formula>
    </cfRule>
    <cfRule type="containsText" dxfId="2141" priority="3531" operator="containsText" text="D">
      <formula>NOT(ISERROR(SEARCH("D",Y76)))</formula>
    </cfRule>
    <cfRule type="containsText" dxfId="2140" priority="3532" operator="containsText" text="A">
      <formula>NOT(ISERROR(SEARCH("A",Y76)))</formula>
    </cfRule>
  </conditionalFormatting>
  <conditionalFormatting sqref="AF87:AL87">
    <cfRule type="containsText" dxfId="2139" priority="3521" operator="containsText" text="D">
      <formula>NOT(ISERROR(SEARCH("D",AF87)))</formula>
    </cfRule>
    <cfRule type="containsText" dxfId="2138" priority="3522" operator="containsText" text="A">
      <formula>NOT(ISERROR(SEARCH("A",AF87)))</formula>
    </cfRule>
  </conditionalFormatting>
  <conditionalFormatting sqref="L87:S87 V87:AI87">
    <cfRule type="containsText" dxfId="2137" priority="3503" operator="containsText" text="D">
      <formula>NOT(ISERROR(SEARCH("D",L87)))</formula>
    </cfRule>
    <cfRule type="containsText" dxfId="2136" priority="3504" operator="containsText" text="A">
      <formula>NOT(ISERROR(SEARCH("A",L87)))</formula>
    </cfRule>
    <cfRule type="containsText" dxfId="2135" priority="3519" operator="containsText" text="D">
      <formula>NOT(ISERROR(SEARCH("D",L87)))</formula>
    </cfRule>
    <cfRule type="containsText" dxfId="2134" priority="3520" operator="containsText" text="A">
      <formula>NOT(ISERROR(SEARCH("A",L87)))</formula>
    </cfRule>
  </conditionalFormatting>
  <conditionalFormatting sqref="L88:T88 V88:AA88">
    <cfRule type="containsText" dxfId="2133" priority="3267" operator="containsText" text="D">
      <formula>NOT(ISERROR(SEARCH("D",L88)))</formula>
    </cfRule>
    <cfRule type="containsText" dxfId="2132" priority="3268" operator="containsText" text="A">
      <formula>NOT(ISERROR(SEARCH("A",L88)))</formula>
    </cfRule>
    <cfRule type="containsText" dxfId="2131" priority="3433" operator="containsText" text="D">
      <formula>NOT(ISERROR(SEARCH("D",L88)))</formula>
    </cfRule>
    <cfRule type="containsText" dxfId="2130" priority="3434" operator="containsText" text="A">
      <formula>NOT(ISERROR(SEARCH("A",L88)))</formula>
    </cfRule>
    <cfRule type="containsText" dxfId="2129" priority="3501" operator="containsText" text="D">
      <formula>NOT(ISERROR(SEARCH("D",L88)))</formula>
    </cfRule>
    <cfRule type="containsText" dxfId="2128" priority="3502" operator="containsText" text="A">
      <formula>NOT(ISERROR(SEARCH("A",L88)))</formula>
    </cfRule>
    <cfRule type="containsText" dxfId="2127" priority="3517" operator="containsText" text="D">
      <formula>NOT(ISERROR(SEARCH("D",L88)))</formula>
    </cfRule>
    <cfRule type="containsText" dxfId="2126" priority="3518" operator="containsText" text="A">
      <formula>NOT(ISERROR(SEARCH("A",L88)))</formula>
    </cfRule>
  </conditionalFormatting>
  <conditionalFormatting sqref="AF89:AL89">
    <cfRule type="containsText" dxfId="2125" priority="3511" operator="containsText" text="D">
      <formula>NOT(ISERROR(SEARCH("D",AF89)))</formula>
    </cfRule>
    <cfRule type="containsText" dxfId="2124" priority="3512" operator="containsText" text="A">
      <formula>NOT(ISERROR(SEARCH("A",AF89)))</formula>
    </cfRule>
  </conditionalFormatting>
  <conditionalFormatting sqref="L89:T89 V89:AI89">
    <cfRule type="containsText" dxfId="2123" priority="3331" operator="containsText" text="D">
      <formula>NOT(ISERROR(SEARCH("D",L89)))</formula>
    </cfRule>
    <cfRule type="containsText" dxfId="2122" priority="3332" operator="containsText" text="A">
      <formula>NOT(ISERROR(SEARCH("A",L89)))</formula>
    </cfRule>
    <cfRule type="containsText" dxfId="2121" priority="3495" operator="containsText" text="D">
      <formula>NOT(ISERROR(SEARCH("D",L89)))</formula>
    </cfRule>
    <cfRule type="containsText" dxfId="2120" priority="3496" operator="containsText" text="A">
      <formula>NOT(ISERROR(SEARCH("A",L89)))</formula>
    </cfRule>
    <cfRule type="containsText" dxfId="2119" priority="3509" operator="containsText" text="D">
      <formula>NOT(ISERROR(SEARCH("D",L89)))</formula>
    </cfRule>
    <cfRule type="containsText" dxfId="2118" priority="3510" operator="containsText" text="A">
      <formula>NOT(ISERROR(SEARCH("A",L89)))</formula>
    </cfRule>
  </conditionalFormatting>
  <conditionalFormatting sqref="L90:T90 V90:AA90">
    <cfRule type="containsText" dxfId="2117" priority="3221" operator="containsText" text="D">
      <formula>NOT(ISERROR(SEARCH("D",L90)))</formula>
    </cfRule>
    <cfRule type="containsText" dxfId="2116" priority="3222" operator="containsText" text="A">
      <formula>NOT(ISERROR(SEARCH("A",L90)))</formula>
    </cfRule>
    <cfRule type="containsText" dxfId="2115" priority="3259" operator="containsText" text="D">
      <formula>NOT(ISERROR(SEARCH("D",L90)))</formula>
    </cfRule>
    <cfRule type="containsText" dxfId="2114" priority="3260" operator="containsText" text="A">
      <formula>NOT(ISERROR(SEARCH("A",L90)))</formula>
    </cfRule>
    <cfRule type="containsText" dxfId="2113" priority="3329" operator="containsText" text="D">
      <formula>NOT(ISERROR(SEARCH("D",L90)))</formula>
    </cfRule>
    <cfRule type="containsText" dxfId="2112" priority="3330" operator="containsText" text="A">
      <formula>NOT(ISERROR(SEARCH("A",L90)))</formula>
    </cfRule>
    <cfRule type="containsText" dxfId="2111" priority="3493" operator="containsText" text="D">
      <formula>NOT(ISERROR(SEARCH("D",L90)))</formula>
    </cfRule>
    <cfRule type="containsText" dxfId="2110" priority="3494" operator="containsText" text="A">
      <formula>NOT(ISERROR(SEARCH("A",L90)))</formula>
    </cfRule>
  </conditionalFormatting>
  <conditionalFormatting sqref="L90:T90 V90:AI90">
    <cfRule type="containsText" dxfId="2109" priority="3289" operator="containsText" text="D">
      <formula>NOT(ISERROR(SEARCH("D",L90)))</formula>
    </cfRule>
    <cfRule type="containsText" dxfId="2108" priority="3290" operator="containsText" text="A">
      <formula>NOT(ISERROR(SEARCH("A",L90)))</formula>
    </cfRule>
    <cfRule type="containsText" dxfId="2107" priority="3301" operator="containsText" text="D">
      <formula>NOT(ISERROR(SEARCH("D",L90)))</formula>
    </cfRule>
    <cfRule type="containsText" dxfId="2106" priority="3302" operator="containsText" text="A">
      <formula>NOT(ISERROR(SEARCH("A",L90)))</formula>
    </cfRule>
    <cfRule type="containsText" dxfId="2105" priority="3479" operator="containsText" text="D">
      <formula>NOT(ISERROR(SEARCH("D",L90)))</formula>
    </cfRule>
    <cfRule type="containsText" dxfId="2104" priority="3480" operator="containsText" text="A">
      <formula>NOT(ISERROR(SEARCH("A",L90)))</formula>
    </cfRule>
  </conditionalFormatting>
  <conditionalFormatting sqref="L84:T84 V84:AH84">
    <cfRule type="containsText" dxfId="2103" priority="3473" operator="containsText" text="D">
      <formula>NOT(ISERROR(SEARCH("D",L84)))</formula>
    </cfRule>
    <cfRule type="containsText" dxfId="2102" priority="3474" operator="containsText" text="A">
      <formula>NOT(ISERROR(SEARCH("A",L84)))</formula>
    </cfRule>
  </conditionalFormatting>
  <conditionalFormatting sqref="L85:S85 V85:AA85">
    <cfRule type="containsText" dxfId="2101" priority="3471" operator="containsText" text="D">
      <formula>NOT(ISERROR(SEARCH("D",L85)))</formula>
    </cfRule>
    <cfRule type="containsText" dxfId="2100" priority="3472" operator="containsText" text="A">
      <formula>NOT(ISERROR(SEARCH("A",L85)))</formula>
    </cfRule>
  </conditionalFormatting>
  <conditionalFormatting sqref="L86:S86 V86:AH86">
    <cfRule type="containsText" dxfId="2099" priority="3427" operator="containsText" text="D">
      <formula>NOT(ISERROR(SEARCH("D",L86)))</formula>
    </cfRule>
    <cfRule type="containsText" dxfId="2098" priority="3428" operator="containsText" text="A">
      <formula>NOT(ISERROR(SEARCH("A",L86)))</formula>
    </cfRule>
    <cfRule type="containsText" dxfId="2097" priority="3465" operator="containsText" text="D">
      <formula>NOT(ISERROR(SEARCH("D",L86)))</formula>
    </cfRule>
    <cfRule type="containsText" dxfId="2096" priority="3466" operator="containsText" text="A">
      <formula>NOT(ISERROR(SEARCH("A",L86)))</formula>
    </cfRule>
  </conditionalFormatting>
  <conditionalFormatting sqref="L85:S85 V85:AH85">
    <cfRule type="containsText" dxfId="2095" priority="3443" operator="containsText" text="D">
      <formula>NOT(ISERROR(SEARCH("D",L85)))</formula>
    </cfRule>
    <cfRule type="containsText" dxfId="2094" priority="3444" operator="containsText" text="A">
      <formula>NOT(ISERROR(SEARCH("A",L85)))</formula>
    </cfRule>
    <cfRule type="containsText" dxfId="2093" priority="3457" operator="containsText" text="D">
      <formula>NOT(ISERROR(SEARCH("D",L85)))</formula>
    </cfRule>
    <cfRule type="containsText" dxfId="2092" priority="3458" operator="containsText" text="A">
      <formula>NOT(ISERROR(SEARCH("A",L85)))</formula>
    </cfRule>
  </conditionalFormatting>
  <conditionalFormatting sqref="L86:S86 V86:AA86">
    <cfRule type="containsText" dxfId="2091" priority="3441" operator="containsText" text="D">
      <formula>NOT(ISERROR(SEARCH("D",L86)))</formula>
    </cfRule>
    <cfRule type="containsText" dxfId="2090" priority="3442" operator="containsText" text="A">
      <formula>NOT(ISERROR(SEARCH("A",L86)))</formula>
    </cfRule>
    <cfRule type="containsText" dxfId="2089" priority="3455" operator="containsText" text="D">
      <formula>NOT(ISERROR(SEARCH("D",L86)))</formula>
    </cfRule>
    <cfRule type="containsText" dxfId="2088" priority="3456" operator="containsText" text="A">
      <formula>NOT(ISERROR(SEARCH("A",L86)))</formula>
    </cfRule>
  </conditionalFormatting>
  <conditionalFormatting sqref="L87:S87 V87:AH87">
    <cfRule type="containsText" dxfId="2087" priority="3269" operator="containsText" text="D">
      <formula>NOT(ISERROR(SEARCH("D",L87)))</formula>
    </cfRule>
    <cfRule type="containsText" dxfId="2086" priority="3270" operator="containsText" text="A">
      <formula>NOT(ISERROR(SEARCH("A",L87)))</formula>
    </cfRule>
    <cfRule type="containsText" dxfId="2085" priority="3435" operator="containsText" text="D">
      <formula>NOT(ISERROR(SEARCH("D",L87)))</formula>
    </cfRule>
    <cfRule type="containsText" dxfId="2084" priority="3436" operator="containsText" text="A">
      <formula>NOT(ISERROR(SEARCH("A",L87)))</formula>
    </cfRule>
    <cfRule type="containsText" dxfId="2083" priority="3449" operator="containsText" text="D">
      <formula>NOT(ISERROR(SEARCH("D",L87)))</formula>
    </cfRule>
    <cfRule type="containsText" dxfId="2082" priority="3450" operator="containsText" text="A">
      <formula>NOT(ISERROR(SEARCH("A",L87)))</formula>
    </cfRule>
  </conditionalFormatting>
  <conditionalFormatting sqref="L88:T88 V88:AH88">
    <cfRule type="containsText" dxfId="2081" priority="3239" operator="containsText" text="D">
      <formula>NOT(ISERROR(SEARCH("D",L88)))</formula>
    </cfRule>
    <cfRule type="containsText" dxfId="2080" priority="3240" operator="containsText" text="A">
      <formula>NOT(ISERROR(SEARCH("A",L88)))</formula>
    </cfRule>
    <cfRule type="containsText" dxfId="2079" priority="3253" operator="containsText" text="D">
      <formula>NOT(ISERROR(SEARCH("D",L88)))</formula>
    </cfRule>
    <cfRule type="containsText" dxfId="2078" priority="3254" operator="containsText" text="A">
      <formula>NOT(ISERROR(SEARCH("A",L88)))</formula>
    </cfRule>
    <cfRule type="containsText" dxfId="2077" priority="3419" operator="containsText" text="D">
      <formula>NOT(ISERROR(SEARCH("D",L88)))</formula>
    </cfRule>
    <cfRule type="containsText" dxfId="2076" priority="3420" operator="containsText" text="A">
      <formula>NOT(ISERROR(SEARCH("A",L88)))</formula>
    </cfRule>
  </conditionalFormatting>
  <conditionalFormatting sqref="AR10:BJ10">
    <cfRule type="containsText" dxfId="2075" priority="3361" operator="containsText" text="D">
      <formula>NOT(ISERROR(SEARCH("D",AR10)))</formula>
    </cfRule>
    <cfRule type="containsText" dxfId="2074" priority="3362" operator="containsText" text="A">
      <formula>NOT(ISERROR(SEARCH("A",AR10)))</formula>
    </cfRule>
  </conditionalFormatting>
  <conditionalFormatting sqref="V76:V79">
    <cfRule type="containsText" dxfId="2073" priority="3355" operator="containsText" text="D">
      <formula>NOT(ISERROR(SEARCH("D",V76)))</formula>
    </cfRule>
    <cfRule type="containsText" dxfId="2072" priority="3356" operator="containsText" text="A">
      <formula>NOT(ISERROR(SEARCH("A",V76)))</formula>
    </cfRule>
  </conditionalFormatting>
  <conditionalFormatting sqref="X76:X80">
    <cfRule type="containsText" dxfId="2071" priority="1399" operator="containsText" text="D">
      <formula>NOT(ISERROR(SEARCH("D",X76)))</formula>
    </cfRule>
    <cfRule type="containsText" dxfId="2070" priority="1400" operator="containsText" text="A">
      <formula>NOT(ISERROR(SEARCH("A",X76)))</formula>
    </cfRule>
    <cfRule type="containsText" dxfId="2069" priority="3353" operator="containsText" text="D">
      <formula>NOT(ISERROR(SEARCH("D",X76)))</formula>
    </cfRule>
    <cfRule type="containsText" dxfId="2068" priority="3354" operator="containsText" text="A">
      <formula>NOT(ISERROR(SEARCH("A",X76)))</formula>
    </cfRule>
  </conditionalFormatting>
  <conditionalFormatting sqref="Z76:Z81">
    <cfRule type="containsText" dxfId="2067" priority="249" operator="containsText" text="D">
      <formula>NOT(ISERROR(SEARCH("D",Z76)))</formula>
    </cfRule>
    <cfRule type="containsText" dxfId="2066" priority="250" operator="containsText" text="A">
      <formula>NOT(ISERROR(SEARCH("A",Z76)))</formula>
    </cfRule>
    <cfRule type="containsText" dxfId="2065" priority="377" operator="containsText" text="D">
      <formula>NOT(ISERROR(SEARCH("D",Z76)))</formula>
    </cfRule>
    <cfRule type="containsText" dxfId="2064" priority="378" operator="containsText" text="A">
      <formula>NOT(ISERROR(SEARCH("A",Z76)))</formula>
    </cfRule>
    <cfRule type="containsText" dxfId="2063" priority="509" operator="containsText" text="D">
      <formula>NOT(ISERROR(SEARCH("D",Z76)))</formula>
    </cfRule>
    <cfRule type="containsText" dxfId="2062" priority="510" operator="containsText" text="A">
      <formula>NOT(ISERROR(SEARCH("A",Z76)))</formula>
    </cfRule>
    <cfRule type="containsText" dxfId="2061" priority="629" operator="containsText" text="D">
      <formula>NOT(ISERROR(SEARCH("D",Z76)))</formula>
    </cfRule>
    <cfRule type="containsText" dxfId="2060" priority="630" operator="containsText" text="A">
      <formula>NOT(ISERROR(SEARCH("A",Z76)))</formula>
    </cfRule>
    <cfRule type="containsText" dxfId="2059" priority="777" operator="containsText" text="D">
      <formula>NOT(ISERROR(SEARCH("D",Z76)))</formula>
    </cfRule>
    <cfRule type="containsText" dxfId="2058" priority="778" operator="containsText" text="A">
      <formula>NOT(ISERROR(SEARCH("A",Z76)))</formula>
    </cfRule>
    <cfRule type="containsText" dxfId="2057" priority="1397" operator="containsText" text="D">
      <formula>NOT(ISERROR(SEARCH("D",Z76)))</formula>
    </cfRule>
    <cfRule type="containsText" dxfId="2056" priority="1398" operator="containsText" text="A">
      <formula>NOT(ISERROR(SEARCH("A",Z76)))</formula>
    </cfRule>
    <cfRule type="containsText" dxfId="2055" priority="3341" operator="containsText" text="D">
      <formula>NOT(ISERROR(SEARCH("D",Z76)))</formula>
    </cfRule>
    <cfRule type="containsText" dxfId="2054" priority="3342" operator="containsText" text="A">
      <formula>NOT(ISERROR(SEARCH("A",Z76)))</formula>
    </cfRule>
    <cfRule type="containsText" dxfId="2053" priority="3351" operator="containsText" text="D">
      <formula>NOT(ISERROR(SEARCH("D",Z76)))</formula>
    </cfRule>
    <cfRule type="containsText" dxfId="2052" priority="3352" operator="containsText" text="A">
      <formula>NOT(ISERROR(SEARCH("A",Z76)))</formula>
    </cfRule>
  </conditionalFormatting>
  <conditionalFormatting sqref="AB76:AB81">
    <cfRule type="containsText" dxfId="2051" priority="133" operator="containsText" text="D">
      <formula>NOT(ISERROR(SEARCH("D",AB76)))</formula>
    </cfRule>
    <cfRule type="containsText" dxfId="2050" priority="134" operator="containsText" text="A">
      <formula>NOT(ISERROR(SEARCH("A",AB76)))</formula>
    </cfRule>
    <cfRule type="containsText" dxfId="2049" priority="247" operator="containsText" text="D">
      <formula>NOT(ISERROR(SEARCH("D",AB76)))</formula>
    </cfRule>
    <cfRule type="containsText" dxfId="2048" priority="248" operator="containsText" text="A">
      <formula>NOT(ISERROR(SEARCH("A",AB76)))</formula>
    </cfRule>
    <cfRule type="containsText" dxfId="2047" priority="255" operator="containsText" text="D">
      <formula>NOT(ISERROR(SEARCH("D",AB76)))</formula>
    </cfRule>
    <cfRule type="containsText" dxfId="2046" priority="256" operator="containsText" text="A">
      <formula>NOT(ISERROR(SEARCH("A",AB76)))</formula>
    </cfRule>
    <cfRule type="containsText" dxfId="2045" priority="375" operator="containsText" text="D">
      <formula>NOT(ISERROR(SEARCH("D",AB76)))</formula>
    </cfRule>
    <cfRule type="containsText" dxfId="2044" priority="376" operator="containsText" text="A">
      <formula>NOT(ISERROR(SEARCH("A",AB76)))</formula>
    </cfRule>
    <cfRule type="containsText" dxfId="2043" priority="383" operator="containsText" text="D">
      <formula>NOT(ISERROR(SEARCH("D",AB76)))</formula>
    </cfRule>
    <cfRule type="containsText" dxfId="2042" priority="384" operator="containsText" text="A">
      <formula>NOT(ISERROR(SEARCH("A",AB76)))</formula>
    </cfRule>
    <cfRule type="containsText" dxfId="2041" priority="507" operator="containsText" text="D">
      <formula>NOT(ISERROR(SEARCH("D",AB76)))</formula>
    </cfRule>
    <cfRule type="containsText" dxfId="2040" priority="508" operator="containsText" text="A">
      <formula>NOT(ISERROR(SEARCH("A",AB76)))</formula>
    </cfRule>
    <cfRule type="containsText" dxfId="2039" priority="515" operator="containsText" text="D">
      <formula>NOT(ISERROR(SEARCH("D",AB76)))</formula>
    </cfRule>
    <cfRule type="containsText" dxfId="2038" priority="516" operator="containsText" text="A">
      <formula>NOT(ISERROR(SEARCH("A",AB76)))</formula>
    </cfRule>
    <cfRule type="containsText" dxfId="2037" priority="627" operator="containsText" text="D">
      <formula>NOT(ISERROR(SEARCH("D",AB76)))</formula>
    </cfRule>
    <cfRule type="containsText" dxfId="2036" priority="628" operator="containsText" text="A">
      <formula>NOT(ISERROR(SEARCH("A",AB76)))</formula>
    </cfRule>
    <cfRule type="containsText" dxfId="2035" priority="635" operator="containsText" text="D">
      <formula>NOT(ISERROR(SEARCH("D",AB76)))</formula>
    </cfRule>
    <cfRule type="containsText" dxfId="2034" priority="636" operator="containsText" text="A">
      <formula>NOT(ISERROR(SEARCH("A",AB76)))</formula>
    </cfRule>
    <cfRule type="containsText" dxfId="2033" priority="775" operator="containsText" text="D">
      <formula>NOT(ISERROR(SEARCH("D",AB76)))</formula>
    </cfRule>
    <cfRule type="containsText" dxfId="2032" priority="776" operator="containsText" text="A">
      <formula>NOT(ISERROR(SEARCH("A",AB76)))</formula>
    </cfRule>
    <cfRule type="containsText" dxfId="2031" priority="783" operator="containsText" text="D">
      <formula>NOT(ISERROR(SEARCH("D",AB76)))</formula>
    </cfRule>
    <cfRule type="containsText" dxfId="2030" priority="784" operator="containsText" text="A">
      <formula>NOT(ISERROR(SEARCH("A",AB76)))</formula>
    </cfRule>
    <cfRule type="containsText" dxfId="2029" priority="1395" operator="containsText" text="D">
      <formula>NOT(ISERROR(SEARCH("D",AB76)))</formula>
    </cfRule>
    <cfRule type="containsText" dxfId="2028" priority="1396" operator="containsText" text="A">
      <formula>NOT(ISERROR(SEARCH("A",AB76)))</formula>
    </cfRule>
    <cfRule type="containsText" dxfId="2027" priority="1405" operator="containsText" text="D">
      <formula>NOT(ISERROR(SEARCH("D",AB76)))</formula>
    </cfRule>
    <cfRule type="containsText" dxfId="2026" priority="1406" operator="containsText" text="A">
      <formula>NOT(ISERROR(SEARCH("A",AB76)))</formula>
    </cfRule>
    <cfRule type="containsText" dxfId="2025" priority="3339" operator="containsText" text="D">
      <formula>NOT(ISERROR(SEARCH("D",AB76)))</formula>
    </cfRule>
    <cfRule type="containsText" dxfId="2024" priority="3340" operator="containsText" text="A">
      <formula>NOT(ISERROR(SEARCH("A",AB76)))</formula>
    </cfRule>
    <cfRule type="containsText" dxfId="2023" priority="3349" operator="containsText" text="D">
      <formula>NOT(ISERROR(SEARCH("D",AB76)))</formula>
    </cfRule>
    <cfRule type="containsText" dxfId="2022" priority="3350" operator="containsText" text="A">
      <formula>NOT(ISERROR(SEARCH("A",AB76)))</formula>
    </cfRule>
  </conditionalFormatting>
  <conditionalFormatting sqref="AD76:AD81">
    <cfRule type="containsText" dxfId="2021" priority="131" operator="containsText" text="D">
      <formula>NOT(ISERROR(SEARCH("D",AD76)))</formula>
    </cfRule>
    <cfRule type="containsText" dxfId="2020" priority="132" operator="containsText" text="A">
      <formula>NOT(ISERROR(SEARCH("A",AD76)))</formula>
    </cfRule>
    <cfRule type="containsText" dxfId="2019" priority="141" operator="containsText" text="D">
      <formula>NOT(ISERROR(SEARCH("D",AD76)))</formula>
    </cfRule>
    <cfRule type="containsText" dxfId="2018" priority="142" operator="containsText" text="A">
      <formula>NOT(ISERROR(SEARCH("A",AD76)))</formula>
    </cfRule>
    <cfRule type="containsText" dxfId="2017" priority="245" operator="containsText" text="D">
      <formula>NOT(ISERROR(SEARCH("D",AD76)))</formula>
    </cfRule>
    <cfRule type="containsText" dxfId="2016" priority="246" operator="containsText" text="A">
      <formula>NOT(ISERROR(SEARCH("A",AD76)))</formula>
    </cfRule>
    <cfRule type="containsText" dxfId="2015" priority="253" operator="containsText" text="D">
      <formula>NOT(ISERROR(SEARCH("D",AD76)))</formula>
    </cfRule>
    <cfRule type="containsText" dxfId="2014" priority="254" operator="containsText" text="A">
      <formula>NOT(ISERROR(SEARCH("A",AD76)))</formula>
    </cfRule>
    <cfRule type="containsText" dxfId="2013" priority="373" operator="containsText" text="D">
      <formula>NOT(ISERROR(SEARCH("D",AD76)))</formula>
    </cfRule>
    <cfRule type="containsText" dxfId="2012" priority="374" operator="containsText" text="A">
      <formula>NOT(ISERROR(SEARCH("A",AD76)))</formula>
    </cfRule>
    <cfRule type="containsText" dxfId="2011" priority="381" operator="containsText" text="D">
      <formula>NOT(ISERROR(SEARCH("D",AD76)))</formula>
    </cfRule>
    <cfRule type="containsText" dxfId="2010" priority="382" operator="containsText" text="A">
      <formula>NOT(ISERROR(SEARCH("A",AD76)))</formula>
    </cfRule>
    <cfRule type="containsText" dxfId="2009" priority="505" operator="containsText" text="D">
      <formula>NOT(ISERROR(SEARCH("D",AD76)))</formula>
    </cfRule>
    <cfRule type="containsText" dxfId="2008" priority="506" operator="containsText" text="A">
      <formula>NOT(ISERROR(SEARCH("A",AD76)))</formula>
    </cfRule>
    <cfRule type="containsText" dxfId="2007" priority="513" operator="containsText" text="D">
      <formula>NOT(ISERROR(SEARCH("D",AD76)))</formula>
    </cfRule>
    <cfRule type="containsText" dxfId="2006" priority="514" operator="containsText" text="A">
      <formula>NOT(ISERROR(SEARCH("A",AD76)))</formula>
    </cfRule>
    <cfRule type="containsText" dxfId="2005" priority="625" operator="containsText" text="D">
      <formula>NOT(ISERROR(SEARCH("D",AD76)))</formula>
    </cfRule>
    <cfRule type="containsText" dxfId="2004" priority="626" operator="containsText" text="A">
      <formula>NOT(ISERROR(SEARCH("A",AD76)))</formula>
    </cfRule>
    <cfRule type="containsText" dxfId="2003" priority="633" operator="containsText" text="D">
      <formula>NOT(ISERROR(SEARCH("D",AD76)))</formula>
    </cfRule>
    <cfRule type="containsText" dxfId="2002" priority="634" operator="containsText" text="A">
      <formula>NOT(ISERROR(SEARCH("A",AD76)))</formula>
    </cfRule>
    <cfRule type="containsText" dxfId="2001" priority="773" operator="containsText" text="D">
      <formula>NOT(ISERROR(SEARCH("D",AD76)))</formula>
    </cfRule>
    <cfRule type="containsText" dxfId="2000" priority="774" operator="containsText" text="A">
      <formula>NOT(ISERROR(SEARCH("A",AD76)))</formula>
    </cfRule>
    <cfRule type="containsText" dxfId="1999" priority="781" operator="containsText" text="D">
      <formula>NOT(ISERROR(SEARCH("D",AD76)))</formula>
    </cfRule>
    <cfRule type="containsText" dxfId="1998" priority="782" operator="containsText" text="A">
      <formula>NOT(ISERROR(SEARCH("A",AD76)))</formula>
    </cfRule>
    <cfRule type="containsText" dxfId="1997" priority="1393" operator="containsText" text="D">
      <formula>NOT(ISERROR(SEARCH("D",AD76)))</formula>
    </cfRule>
    <cfRule type="containsText" dxfId="1996" priority="1394" operator="containsText" text="A">
      <formula>NOT(ISERROR(SEARCH("A",AD76)))</formula>
    </cfRule>
    <cfRule type="containsText" dxfId="1995" priority="1403" operator="containsText" text="D">
      <formula>NOT(ISERROR(SEARCH("D",AD76)))</formula>
    </cfRule>
    <cfRule type="containsText" dxfId="1994" priority="1404" operator="containsText" text="A">
      <formula>NOT(ISERROR(SEARCH("A",AD76)))</formula>
    </cfRule>
    <cfRule type="containsText" dxfId="1993" priority="3337" operator="containsText" text="D">
      <formula>NOT(ISERROR(SEARCH("D",AD76)))</formula>
    </cfRule>
    <cfRule type="containsText" dxfId="1992" priority="3338" operator="containsText" text="A">
      <formula>NOT(ISERROR(SEARCH("A",AD76)))</formula>
    </cfRule>
    <cfRule type="containsText" dxfId="1991" priority="3347" operator="containsText" text="D">
      <formula>NOT(ISERROR(SEARCH("D",AD76)))</formula>
    </cfRule>
    <cfRule type="containsText" dxfId="1990" priority="3348" operator="containsText" text="A">
      <formula>NOT(ISERROR(SEARCH("A",AD76)))</formula>
    </cfRule>
  </conditionalFormatting>
  <conditionalFormatting sqref="V76:V80">
    <cfRule type="containsText" dxfId="1989" priority="3345" operator="containsText" text="D">
      <formula>NOT(ISERROR(SEARCH("D",V76)))</formula>
    </cfRule>
    <cfRule type="containsText" dxfId="1988" priority="3346" operator="containsText" text="A">
      <formula>NOT(ISERROR(SEARCH("A",V76)))</formula>
    </cfRule>
  </conditionalFormatting>
  <conditionalFormatting sqref="X76:X81">
    <cfRule type="containsText" dxfId="1987" priority="3343" operator="containsText" text="D">
      <formula>NOT(ISERROR(SEARCH("D",X76)))</formula>
    </cfRule>
    <cfRule type="containsText" dxfId="1986" priority="3344" operator="containsText" text="A">
      <formula>NOT(ISERROR(SEARCH("A",X76)))</formula>
    </cfRule>
  </conditionalFormatting>
  <conditionalFormatting sqref="AF89:AN89">
    <cfRule type="containsText" dxfId="1985" priority="3333" operator="containsText" text="D">
      <formula>NOT(ISERROR(SEARCH("D",AF89)))</formula>
    </cfRule>
    <cfRule type="containsText" dxfId="1984" priority="3334" operator="containsText" text="A">
      <formula>NOT(ISERROR(SEARCH("A",AF89)))</formula>
    </cfRule>
  </conditionalFormatting>
  <conditionalFormatting sqref="V78:Z78">
    <cfRule type="containsText" dxfId="1983" priority="1209" operator="containsText" text="D">
      <formula>NOT(ISERROR(SEARCH("D",V78)))</formula>
    </cfRule>
    <cfRule type="containsText" dxfId="1982" priority="1210" operator="containsText" text="A">
      <formula>NOT(ISERROR(SEARCH("A",V78)))</formula>
    </cfRule>
    <cfRule type="containsText" dxfId="1981" priority="1213" operator="containsText" text="D">
      <formula>NOT(ISERROR(SEARCH("D",V78)))</formula>
    </cfRule>
    <cfRule type="containsText" dxfId="1980" priority="1214" operator="containsText" text="A">
      <formula>NOT(ISERROR(SEARCH("A",V78)))</formula>
    </cfRule>
    <cfRule type="containsText" dxfId="1979" priority="1217" operator="containsText" text="D">
      <formula>NOT(ISERROR(SEARCH("D",V78)))</formula>
    </cfRule>
    <cfRule type="containsText" dxfId="1978" priority="1218" operator="containsText" text="A">
      <formula>NOT(ISERROR(SEARCH("A",V78)))</formula>
    </cfRule>
    <cfRule type="containsText" dxfId="1977" priority="1223" operator="containsText" text="D">
      <formula>NOT(ISERROR(SEARCH("D",V78)))</formula>
    </cfRule>
    <cfRule type="containsText" dxfId="1976" priority="1224" operator="containsText" text="A">
      <formula>NOT(ISERROR(SEARCH("A",V78)))</formula>
    </cfRule>
    <cfRule type="containsText" dxfId="1975" priority="1227" operator="containsText" text="D">
      <formula>NOT(ISERROR(SEARCH("D",V78)))</formula>
    </cfRule>
    <cfRule type="containsText" dxfId="1974" priority="1228" operator="containsText" text="A">
      <formula>NOT(ISERROR(SEARCH("A",V78)))</formula>
    </cfRule>
    <cfRule type="containsText" dxfId="1973" priority="1231" operator="containsText" text="D">
      <formula>NOT(ISERROR(SEARCH("D",V78)))</formula>
    </cfRule>
    <cfRule type="containsText" dxfId="1972" priority="1232" operator="containsText" text="A">
      <formula>NOT(ISERROR(SEARCH("A",V78)))</formula>
    </cfRule>
    <cfRule type="containsText" dxfId="1971" priority="1237" operator="containsText" text="D">
      <formula>NOT(ISERROR(SEARCH("D",V78)))</formula>
    </cfRule>
    <cfRule type="containsText" dxfId="1970" priority="1238" operator="containsText" text="A">
      <formula>NOT(ISERROR(SEARCH("A",V78)))</formula>
    </cfRule>
    <cfRule type="containsText" dxfId="1969" priority="1239" operator="containsText" text="D">
      <formula>NOT(ISERROR(SEARCH("D",V78)))</formula>
    </cfRule>
    <cfRule type="containsText" dxfId="1968" priority="1240" operator="containsText" text="A">
      <formula>NOT(ISERROR(SEARCH("A",V78)))</formula>
    </cfRule>
    <cfRule type="containsText" dxfId="1967" priority="1243" operator="containsText" text="D">
      <formula>NOT(ISERROR(SEARCH("D",V78)))</formula>
    </cfRule>
    <cfRule type="containsText" dxfId="1966" priority="1244" operator="containsText" text="A">
      <formula>NOT(ISERROR(SEARCH("A",V78)))</formula>
    </cfRule>
    <cfRule type="containsText" dxfId="1965" priority="1247" operator="containsText" text="D">
      <formula>NOT(ISERROR(SEARCH("D",V78)))</formula>
    </cfRule>
    <cfRule type="containsText" dxfId="1964" priority="1248" operator="containsText" text="A">
      <formula>NOT(ISERROR(SEARCH("A",V78)))</formula>
    </cfRule>
    <cfRule type="containsText" dxfId="1963" priority="3073" operator="containsText" text="D">
      <formula>NOT(ISERROR(SEARCH("D",V78)))</formula>
    </cfRule>
    <cfRule type="containsText" dxfId="1962" priority="3074" operator="containsText" text="A">
      <formula>NOT(ISERROR(SEARCH("A",V78)))</formula>
    </cfRule>
    <cfRule type="containsText" dxfId="1961" priority="3075" operator="containsText" text="D">
      <formula>NOT(ISERROR(SEARCH("D",V78)))</formula>
    </cfRule>
    <cfRule type="containsText" dxfId="1960" priority="3076" operator="containsText" text="A">
      <formula>NOT(ISERROR(SEARCH("A",V78)))</formula>
    </cfRule>
    <cfRule type="containsText" dxfId="1959" priority="3219" operator="containsText" text="D">
      <formula>NOT(ISERROR(SEARCH("D",V78)))</formula>
    </cfRule>
    <cfRule type="containsText" dxfId="1958" priority="3220" operator="containsText" text="A">
      <formula>NOT(ISERROR(SEARCH("A",V78)))</formula>
    </cfRule>
    <cfRule type="containsText" dxfId="1957" priority="3233" operator="containsText" text="D">
      <formula>NOT(ISERROR(SEARCH("D",V78)))</formula>
    </cfRule>
    <cfRule type="containsText" dxfId="1956" priority="3234" operator="containsText" text="A">
      <formula>NOT(ISERROR(SEARCH("A",V78)))</formula>
    </cfRule>
    <cfRule type="containsText" dxfId="1955" priority="3247" operator="containsText" text="D">
      <formula>NOT(ISERROR(SEARCH("D",V78)))</formula>
    </cfRule>
    <cfRule type="containsText" dxfId="1954" priority="3248" operator="containsText" text="A">
      <formula>NOT(ISERROR(SEARCH("A",V78)))</formula>
    </cfRule>
    <cfRule type="containsText" dxfId="1953" priority="3257" operator="containsText" text="D">
      <formula>NOT(ISERROR(SEARCH("D",V78)))</formula>
    </cfRule>
    <cfRule type="containsText" dxfId="1952" priority="3258" operator="containsText" text="A">
      <formula>NOT(ISERROR(SEARCH("A",V78)))</formula>
    </cfRule>
    <cfRule type="containsText" dxfId="1951" priority="3321" operator="containsText" text="D">
      <formula>NOT(ISERROR(SEARCH("D",V78)))</formula>
    </cfRule>
    <cfRule type="containsText" dxfId="1950" priority="3322" operator="containsText" text="A">
      <formula>NOT(ISERROR(SEARCH("A",V78)))</formula>
    </cfRule>
  </conditionalFormatting>
  <conditionalFormatting sqref="V79:Z79">
    <cfRule type="containsText" dxfId="1949" priority="1197" operator="containsText" text="D">
      <formula>NOT(ISERROR(SEARCH("D",V79)))</formula>
    </cfRule>
    <cfRule type="containsText" dxfId="1948" priority="1198" operator="containsText" text="A">
      <formula>NOT(ISERROR(SEARCH("A",V79)))</formula>
    </cfRule>
    <cfRule type="containsText" dxfId="1947" priority="1199" operator="containsText" text="D">
      <formula>NOT(ISERROR(SEARCH("D",V79)))</formula>
    </cfRule>
    <cfRule type="containsText" dxfId="1946" priority="1200" operator="containsText" text="A">
      <formula>NOT(ISERROR(SEARCH("A",V79)))</formula>
    </cfRule>
    <cfRule type="containsText" dxfId="1945" priority="1205" operator="containsText" text="D">
      <formula>NOT(ISERROR(SEARCH("D",V79)))</formula>
    </cfRule>
    <cfRule type="containsText" dxfId="1944" priority="1206" operator="containsText" text="A">
      <formula>NOT(ISERROR(SEARCH("A",V79)))</formula>
    </cfRule>
    <cfRule type="containsText" dxfId="1943" priority="1207" operator="containsText" text="D">
      <formula>NOT(ISERROR(SEARCH("D",V79)))</formula>
    </cfRule>
    <cfRule type="containsText" dxfId="1942" priority="1208" operator="containsText" text="A">
      <formula>NOT(ISERROR(SEARCH("A",V79)))</formula>
    </cfRule>
    <cfRule type="containsText" dxfId="1941" priority="1211" operator="containsText" text="D">
      <formula>NOT(ISERROR(SEARCH("D",V79)))</formula>
    </cfRule>
    <cfRule type="containsText" dxfId="1940" priority="1212" operator="containsText" text="A">
      <formula>NOT(ISERROR(SEARCH("A",V79)))</formula>
    </cfRule>
    <cfRule type="containsText" dxfId="1939" priority="1215" operator="containsText" text="D">
      <formula>NOT(ISERROR(SEARCH("D",V79)))</formula>
    </cfRule>
    <cfRule type="containsText" dxfId="1938" priority="1216" operator="containsText" text="A">
      <formula>NOT(ISERROR(SEARCH("A",V79)))</formula>
    </cfRule>
    <cfRule type="containsText" dxfId="1937" priority="1221" operator="containsText" text="D">
      <formula>NOT(ISERROR(SEARCH("D",V79)))</formula>
    </cfRule>
    <cfRule type="containsText" dxfId="1936" priority="1222" operator="containsText" text="A">
      <formula>NOT(ISERROR(SEARCH("A",V79)))</formula>
    </cfRule>
    <cfRule type="containsText" dxfId="1935" priority="3149" operator="containsText" text="D">
      <formula>NOT(ISERROR(SEARCH("D",V79)))</formula>
    </cfRule>
    <cfRule type="containsText" dxfId="1934" priority="3150" operator="containsText" text="A">
      <formula>NOT(ISERROR(SEARCH("A",V79)))</formula>
    </cfRule>
    <cfRule type="containsText" dxfId="1933" priority="3217" operator="containsText" text="D">
      <formula>NOT(ISERROR(SEARCH("D",V79)))</formula>
    </cfRule>
    <cfRule type="containsText" dxfId="1932" priority="3218" operator="containsText" text="A">
      <formula>NOT(ISERROR(SEARCH("A",V79)))</formula>
    </cfRule>
    <cfRule type="containsText" dxfId="1931" priority="3227" operator="containsText" text="D">
      <formula>NOT(ISERROR(SEARCH("D",V79)))</formula>
    </cfRule>
    <cfRule type="containsText" dxfId="1930" priority="3228" operator="containsText" text="A">
      <formula>NOT(ISERROR(SEARCH("A",V79)))</formula>
    </cfRule>
    <cfRule type="containsText" dxfId="1929" priority="3243" operator="containsText" text="D">
      <formula>NOT(ISERROR(SEARCH("D",V79)))</formula>
    </cfRule>
    <cfRule type="containsText" dxfId="1928" priority="3244" operator="containsText" text="A">
      <formula>NOT(ISERROR(SEARCH("A",V79)))</formula>
    </cfRule>
    <cfRule type="containsText" dxfId="1927" priority="3255" operator="containsText" text="D">
      <formula>NOT(ISERROR(SEARCH("D",V79)))</formula>
    </cfRule>
    <cfRule type="containsText" dxfId="1926" priority="3256" operator="containsText" text="A">
      <formula>NOT(ISERROR(SEARCH("A",V79)))</formula>
    </cfRule>
    <cfRule type="containsText" dxfId="1925" priority="3285" operator="containsText" text="D">
      <formula>NOT(ISERROR(SEARCH("D",V79)))</formula>
    </cfRule>
    <cfRule type="containsText" dxfId="1924" priority="3286" operator="containsText" text="A">
      <formula>NOT(ISERROR(SEARCH("A",V79)))</formula>
    </cfRule>
    <cfRule type="containsText" dxfId="1923" priority="3297" operator="containsText" text="D">
      <formula>NOT(ISERROR(SEARCH("D",V79)))</formula>
    </cfRule>
    <cfRule type="containsText" dxfId="1922" priority="3298" operator="containsText" text="A">
      <formula>NOT(ISERROR(SEARCH("A",V79)))</formula>
    </cfRule>
    <cfRule type="containsText" dxfId="1921" priority="3319" operator="containsText" text="D">
      <formula>NOT(ISERROR(SEARCH("D",V79)))</formula>
    </cfRule>
    <cfRule type="containsText" dxfId="1920" priority="3320" operator="containsText" text="A">
      <formula>NOT(ISERROR(SEARCH("A",V79)))</formula>
    </cfRule>
  </conditionalFormatting>
  <conditionalFormatting sqref="AF91:AN91">
    <cfRule type="containsText" dxfId="1919" priority="3311" operator="containsText" text="D">
      <formula>NOT(ISERROR(SEARCH("D",AF91)))</formula>
    </cfRule>
    <cfRule type="containsText" dxfId="1918" priority="3312" operator="containsText" text="A">
      <formula>NOT(ISERROR(SEARCH("A",AF91)))</formula>
    </cfRule>
  </conditionalFormatting>
  <conditionalFormatting sqref="L91:T91 V91:AI91">
    <cfRule type="containsText" dxfId="1917" priority="3277" operator="containsText" text="D">
      <formula>NOT(ISERROR(SEARCH("D",L91)))</formula>
    </cfRule>
    <cfRule type="containsText" dxfId="1916" priority="3278" operator="containsText" text="A">
      <formula>NOT(ISERROR(SEARCH("A",L91)))</formula>
    </cfRule>
    <cfRule type="containsText" dxfId="1915" priority="3309" operator="containsText" text="D">
      <formula>NOT(ISERROR(SEARCH("D",L91)))</formula>
    </cfRule>
    <cfRule type="containsText" dxfId="1914" priority="3310" operator="containsText" text="A">
      <formula>NOT(ISERROR(SEARCH("A",L91)))</formula>
    </cfRule>
  </conditionalFormatting>
  <conditionalFormatting sqref="L92:T92 V92:AA92">
    <cfRule type="containsText" dxfId="1913" priority="3275" operator="containsText" text="D">
      <formula>NOT(ISERROR(SEARCH("D",L92)))</formula>
    </cfRule>
    <cfRule type="containsText" dxfId="1912" priority="3276" operator="containsText" text="A">
      <formula>NOT(ISERROR(SEARCH("A",L92)))</formula>
    </cfRule>
    <cfRule type="containsText" dxfId="1911" priority="3307" operator="containsText" text="D">
      <formula>NOT(ISERROR(SEARCH("D",L92)))</formula>
    </cfRule>
    <cfRule type="containsText" dxfId="1910" priority="3308" operator="containsText" text="A">
      <formula>NOT(ISERROR(SEARCH("A",L92)))</formula>
    </cfRule>
  </conditionalFormatting>
  <conditionalFormatting sqref="V80:Z80">
    <cfRule type="containsText" dxfId="1909" priority="3139" operator="containsText" text="D">
      <formula>NOT(ISERROR(SEARCH("D",V80)))</formula>
    </cfRule>
    <cfRule type="containsText" dxfId="1908" priority="3140" operator="containsText" text="A">
      <formula>NOT(ISERROR(SEARCH("A",V80)))</formula>
    </cfRule>
    <cfRule type="containsText" dxfId="1907" priority="3143" operator="containsText" text="D">
      <formula>NOT(ISERROR(SEARCH("D",V80)))</formula>
    </cfRule>
    <cfRule type="containsText" dxfId="1906" priority="3144" operator="containsText" text="A">
      <formula>NOT(ISERROR(SEARCH("A",V80)))</formula>
    </cfRule>
    <cfRule type="containsText" dxfId="1905" priority="3147" operator="containsText" text="D">
      <formula>NOT(ISERROR(SEARCH("D",V80)))</formula>
    </cfRule>
    <cfRule type="containsText" dxfId="1904" priority="3148" operator="containsText" text="A">
      <formula>NOT(ISERROR(SEARCH("A",V80)))</formula>
    </cfRule>
    <cfRule type="containsText" dxfId="1903" priority="3213" operator="containsText" text="D">
      <formula>NOT(ISERROR(SEARCH("D",V80)))</formula>
    </cfRule>
    <cfRule type="containsText" dxfId="1902" priority="3214" operator="containsText" text="A">
      <formula>NOT(ISERROR(SEARCH("A",V80)))</formula>
    </cfRule>
    <cfRule type="containsText" dxfId="1901" priority="3225" operator="containsText" text="D">
      <formula>NOT(ISERROR(SEARCH("D",V80)))</formula>
    </cfRule>
    <cfRule type="containsText" dxfId="1900" priority="3226" operator="containsText" text="A">
      <formula>NOT(ISERROR(SEARCH("A",V80)))</formula>
    </cfRule>
    <cfRule type="containsText" dxfId="1899" priority="3241" operator="containsText" text="D">
      <formula>NOT(ISERROR(SEARCH("D",V80)))</formula>
    </cfRule>
    <cfRule type="containsText" dxfId="1898" priority="3242" operator="containsText" text="A">
      <formula>NOT(ISERROR(SEARCH("A",V80)))</formula>
    </cfRule>
    <cfRule type="containsText" dxfId="1897" priority="3273" operator="containsText" text="D">
      <formula>NOT(ISERROR(SEARCH("D",V80)))</formula>
    </cfRule>
    <cfRule type="containsText" dxfId="1896" priority="3274" operator="containsText" text="A">
      <formula>NOT(ISERROR(SEARCH("A",V80)))</formula>
    </cfRule>
    <cfRule type="containsText" dxfId="1895" priority="3283" operator="containsText" text="D">
      <formula>NOT(ISERROR(SEARCH("D",V80)))</formula>
    </cfRule>
    <cfRule type="containsText" dxfId="1894" priority="3284" operator="containsText" text="A">
      <formula>NOT(ISERROR(SEARCH("A",V80)))</formula>
    </cfRule>
    <cfRule type="containsText" dxfId="1893" priority="3295" operator="containsText" text="D">
      <formula>NOT(ISERROR(SEARCH("D",V80)))</formula>
    </cfRule>
    <cfRule type="containsText" dxfId="1892" priority="3296" operator="containsText" text="A">
      <formula>NOT(ISERROR(SEARCH("A",V80)))</formula>
    </cfRule>
    <cfRule type="containsText" dxfId="1891" priority="3305" operator="containsText" text="D">
      <formula>NOT(ISERROR(SEARCH("D",V80)))</formula>
    </cfRule>
    <cfRule type="containsText" dxfId="1890" priority="3306" operator="containsText" text="A">
      <formula>NOT(ISERROR(SEARCH("A",V80)))</formula>
    </cfRule>
  </conditionalFormatting>
  <conditionalFormatting sqref="AF90:AL90">
    <cfRule type="containsText" dxfId="1889" priority="3303" operator="containsText" text="D">
      <formula>NOT(ISERROR(SEARCH("D",AF90)))</formula>
    </cfRule>
    <cfRule type="containsText" dxfId="1888" priority="3304" operator="containsText" text="A">
      <formula>NOT(ISERROR(SEARCH("A",AF90)))</formula>
    </cfRule>
  </conditionalFormatting>
  <conditionalFormatting sqref="L91:T91 V91:AA91">
    <cfRule type="containsText" dxfId="1887" priority="3229" operator="containsText" text="D">
      <formula>NOT(ISERROR(SEARCH("D",L91)))</formula>
    </cfRule>
    <cfRule type="containsText" dxfId="1886" priority="3230" operator="containsText" text="A">
      <formula>NOT(ISERROR(SEARCH("A",L91)))</formula>
    </cfRule>
    <cfRule type="containsText" dxfId="1885" priority="3287" operator="containsText" text="D">
      <formula>NOT(ISERROR(SEARCH("D",L91)))</formula>
    </cfRule>
    <cfRule type="containsText" dxfId="1884" priority="3288" operator="containsText" text="A">
      <formula>NOT(ISERROR(SEARCH("A",L91)))</formula>
    </cfRule>
    <cfRule type="containsText" dxfId="1883" priority="3299" operator="containsText" text="D">
      <formula>NOT(ISERROR(SEARCH("D",L91)))</formula>
    </cfRule>
    <cfRule type="containsText" dxfId="1882" priority="3300" operator="containsText" text="A">
      <formula>NOT(ISERROR(SEARCH("A",L91)))</formula>
    </cfRule>
  </conditionalFormatting>
  <conditionalFormatting sqref="AF92:AL92">
    <cfRule type="containsText" dxfId="1881" priority="3293" operator="containsText" text="D">
      <formula>NOT(ISERROR(SEARCH("D",AF92)))</formula>
    </cfRule>
    <cfRule type="containsText" dxfId="1880" priority="3294" operator="containsText" text="A">
      <formula>NOT(ISERROR(SEARCH("A",AF92)))</formula>
    </cfRule>
  </conditionalFormatting>
  <conditionalFormatting sqref="L92:T92 V92:AI92">
    <cfRule type="containsText" dxfId="1879" priority="3281" operator="containsText" text="D">
      <formula>NOT(ISERROR(SEARCH("D",L92)))</formula>
    </cfRule>
    <cfRule type="containsText" dxfId="1878" priority="3282" operator="containsText" text="A">
      <formula>NOT(ISERROR(SEARCH("A",L92)))</formula>
    </cfRule>
    <cfRule type="containsText" dxfId="1877" priority="3291" operator="containsText" text="D">
      <formula>NOT(ISERROR(SEARCH("D",L92)))</formula>
    </cfRule>
    <cfRule type="containsText" dxfId="1876" priority="3292" operator="containsText" text="A">
      <formula>NOT(ISERROR(SEARCH("A",L92)))</formula>
    </cfRule>
  </conditionalFormatting>
  <conditionalFormatting sqref="L93:T93 V93:AA93">
    <cfRule type="containsText" dxfId="1875" priority="3279" operator="containsText" text="D">
      <formula>NOT(ISERROR(SEARCH("D",L93)))</formula>
    </cfRule>
    <cfRule type="containsText" dxfId="1874" priority="3280" operator="containsText" text="A">
      <formula>NOT(ISERROR(SEARCH("A",L93)))</formula>
    </cfRule>
  </conditionalFormatting>
  <conditionalFormatting sqref="L93:T93 V93:AI93">
    <cfRule type="containsText" dxfId="1873" priority="3271" operator="containsText" text="D">
      <formula>NOT(ISERROR(SEARCH("D",L93)))</formula>
    </cfRule>
    <cfRule type="containsText" dxfId="1872" priority="3272" operator="containsText" text="A">
      <formula>NOT(ISERROR(SEARCH("A",L93)))</formula>
    </cfRule>
  </conditionalFormatting>
  <conditionalFormatting sqref="L89:T89 V89:AH89">
    <cfRule type="containsText" dxfId="1871" priority="3223" operator="containsText" text="D">
      <formula>NOT(ISERROR(SEARCH("D",L89)))</formula>
    </cfRule>
    <cfRule type="containsText" dxfId="1870" priority="3224" operator="containsText" text="A">
      <formula>NOT(ISERROR(SEARCH("A",L89)))</formula>
    </cfRule>
    <cfRule type="containsText" dxfId="1869" priority="3261" operator="containsText" text="D">
      <formula>NOT(ISERROR(SEARCH("D",L89)))</formula>
    </cfRule>
    <cfRule type="containsText" dxfId="1868" priority="3262" operator="containsText" text="A">
      <formula>NOT(ISERROR(SEARCH("A",L89)))</formula>
    </cfRule>
  </conditionalFormatting>
  <conditionalFormatting sqref="L90:T90 V90:AH90">
    <cfRule type="containsText" dxfId="1867" priority="3231" operator="containsText" text="D">
      <formula>NOT(ISERROR(SEARCH("D",L90)))</formula>
    </cfRule>
    <cfRule type="containsText" dxfId="1866" priority="3232" operator="containsText" text="A">
      <formula>NOT(ISERROR(SEARCH("A",L90)))</formula>
    </cfRule>
    <cfRule type="containsText" dxfId="1865" priority="3245" operator="containsText" text="D">
      <formula>NOT(ISERROR(SEARCH("D",L90)))</formula>
    </cfRule>
    <cfRule type="containsText" dxfId="1864" priority="3246" operator="containsText" text="A">
      <formula>NOT(ISERROR(SEARCH("A",L90)))</formula>
    </cfRule>
  </conditionalFormatting>
  <conditionalFormatting sqref="L91:T91 V91:AH91">
    <cfRule type="containsText" dxfId="1863" priority="3215" operator="containsText" text="D">
      <formula>NOT(ISERROR(SEARCH("D",L91)))</formula>
    </cfRule>
    <cfRule type="containsText" dxfId="1862" priority="3216" operator="containsText" text="A">
      <formula>NOT(ISERROR(SEARCH("A",L91)))</formula>
    </cfRule>
  </conditionalFormatting>
  <conditionalFormatting sqref="AR17:AS20">
    <cfRule type="containsText" dxfId="1861" priority="3159" operator="containsText" text="D">
      <formula>NOT(ISERROR(SEARCH("D",AR17)))</formula>
    </cfRule>
    <cfRule type="containsText" dxfId="1860" priority="3160" operator="containsText" text="A">
      <formula>NOT(ISERROR(SEARCH("A",AR17)))</formula>
    </cfRule>
  </conditionalFormatting>
  <conditionalFormatting sqref="V81:Z81">
    <cfRule type="containsText" dxfId="1859" priority="3135" operator="containsText" text="D">
      <formula>NOT(ISERROR(SEARCH("D",V81)))</formula>
    </cfRule>
    <cfRule type="containsText" dxfId="1858" priority="3136" operator="containsText" text="A">
      <formula>NOT(ISERROR(SEARCH("A",V81)))</formula>
    </cfRule>
    <cfRule type="containsText" dxfId="1857" priority="3137" operator="containsText" text="D">
      <formula>NOT(ISERROR(SEARCH("D",V81)))</formula>
    </cfRule>
    <cfRule type="containsText" dxfId="1856" priority="3138" operator="containsText" text="A">
      <formula>NOT(ISERROR(SEARCH("A",V81)))</formula>
    </cfRule>
    <cfRule type="containsText" dxfId="1855" priority="3141" operator="containsText" text="D">
      <formula>NOT(ISERROR(SEARCH("D",V81)))</formula>
    </cfRule>
    <cfRule type="containsText" dxfId="1854" priority="3142" operator="containsText" text="A">
      <formula>NOT(ISERROR(SEARCH("A",V81)))</formula>
    </cfRule>
    <cfRule type="containsText" dxfId="1853" priority="3145" operator="containsText" text="D">
      <formula>NOT(ISERROR(SEARCH("D",V81)))</formula>
    </cfRule>
    <cfRule type="containsText" dxfId="1852" priority="3146" operator="containsText" text="A">
      <formula>NOT(ISERROR(SEARCH("A",V81)))</formula>
    </cfRule>
    <cfRule type="containsText" dxfId="1851" priority="3157" operator="containsText" text="D">
      <formula>NOT(ISERROR(SEARCH("D",V81)))</formula>
    </cfRule>
    <cfRule type="containsText" dxfId="1850" priority="3158" operator="containsText" text="A">
      <formula>NOT(ISERROR(SEARCH("A",V81)))</formula>
    </cfRule>
  </conditionalFormatting>
  <conditionalFormatting sqref="X77:AB77">
    <cfRule type="containsText" dxfId="1849" priority="3127" operator="containsText" text="D">
      <formula>NOT(ISERROR(SEARCH("D",X77)))</formula>
    </cfRule>
    <cfRule type="containsText" dxfId="1848" priority="3128" operator="containsText" text="A">
      <formula>NOT(ISERROR(SEARCH("A",X77)))</formula>
    </cfRule>
    <cfRule type="containsText" dxfId="1847" priority="3129" operator="containsText" text="D">
      <formula>NOT(ISERROR(SEARCH("D",X77)))</formula>
    </cfRule>
    <cfRule type="containsText" dxfId="1846" priority="3130" operator="containsText" text="A">
      <formula>NOT(ISERROR(SEARCH("A",X77)))</formula>
    </cfRule>
  </conditionalFormatting>
  <conditionalFormatting sqref="X80:AB80">
    <cfRule type="containsText" dxfId="1845" priority="3069" operator="containsText" text="D">
      <formula>NOT(ISERROR(SEARCH("D",X80)))</formula>
    </cfRule>
    <cfRule type="containsText" dxfId="1844" priority="3070" operator="containsText" text="A">
      <formula>NOT(ISERROR(SEARCH("A",X80)))</formula>
    </cfRule>
    <cfRule type="containsText" dxfId="1843" priority="3071" operator="containsText" text="D">
      <formula>NOT(ISERROR(SEARCH("D",X80)))</formula>
    </cfRule>
    <cfRule type="containsText" dxfId="1842" priority="3072" operator="containsText" text="A">
      <formula>NOT(ISERROR(SEARCH("A",X80)))</formula>
    </cfRule>
  </conditionalFormatting>
  <conditionalFormatting sqref="AB77:AF77">
    <cfRule type="containsText" dxfId="1841" priority="3037" operator="containsText" text="D">
      <formula>NOT(ISERROR(SEARCH("D",AB77)))</formula>
    </cfRule>
    <cfRule type="containsText" dxfId="1840" priority="3038" operator="containsText" text="A">
      <formula>NOT(ISERROR(SEARCH("A",AB77)))</formula>
    </cfRule>
    <cfRule type="containsText" dxfId="1839" priority="3039" operator="containsText" text="D">
      <formula>NOT(ISERROR(SEARCH("D",AB77)))</formula>
    </cfRule>
    <cfRule type="containsText" dxfId="1838" priority="3040" operator="containsText" text="A">
      <formula>NOT(ISERROR(SEARCH("A",AB77)))</formula>
    </cfRule>
    <cfRule type="containsText" dxfId="1837" priority="3041" operator="containsText" text="D">
      <formula>NOT(ISERROR(SEARCH("D",AB77)))</formula>
    </cfRule>
    <cfRule type="containsText" dxfId="1836" priority="3042" operator="containsText" text="A">
      <formula>NOT(ISERROR(SEARCH("A",AB77)))</formula>
    </cfRule>
    <cfRule type="containsText" dxfId="1835" priority="3043" operator="containsText" text="D">
      <formula>NOT(ISERROR(SEARCH("D",AB77)))</formula>
    </cfRule>
    <cfRule type="containsText" dxfId="1834" priority="3044" operator="containsText" text="A">
      <formula>NOT(ISERROR(SEARCH("A",AB77)))</formula>
    </cfRule>
  </conditionalFormatting>
  <conditionalFormatting sqref="T82:T84">
    <cfRule type="containsText" dxfId="1833" priority="3025" operator="containsText" text="D">
      <formula>NOT(ISERROR(SEARCH("D",T82)))</formula>
    </cfRule>
    <cfRule type="containsText" dxfId="1832" priority="3026" operator="containsText" text="A">
      <formula>NOT(ISERROR(SEARCH("A",T82)))</formula>
    </cfRule>
  </conditionalFormatting>
  <conditionalFormatting sqref="T85:T87">
    <cfRule type="containsText" dxfId="1831" priority="3021" operator="containsText" text="D">
      <formula>NOT(ISERROR(SEARCH("D",T85)))</formula>
    </cfRule>
    <cfRule type="containsText" dxfId="1830" priority="3022" operator="containsText" text="A">
      <formula>NOT(ISERROR(SEARCH("A",T85)))</formula>
    </cfRule>
    <cfRule type="containsText" dxfId="1829" priority="3023" operator="containsText" text="D">
      <formula>NOT(ISERROR(SEARCH("D",T85)))</formula>
    </cfRule>
    <cfRule type="containsText" dxfId="1828" priority="3024" operator="containsText" text="A">
      <formula>NOT(ISERROR(SEARCH("A",T85)))</formula>
    </cfRule>
  </conditionalFormatting>
  <conditionalFormatting sqref="AR12:AS15">
    <cfRule type="containsText" dxfId="1827" priority="2467" operator="containsText" text="D">
      <formula>NOT(ISERROR(SEARCH("D",AR12)))</formula>
    </cfRule>
    <cfRule type="containsText" dxfId="1826" priority="2468" operator="containsText" text="A">
      <formula>NOT(ISERROR(SEARCH("A",AR12)))</formula>
    </cfRule>
  </conditionalFormatting>
  <conditionalFormatting sqref="L65:V65 L66:T76 U66:U105 V66:V76 V71:AE76 AC65:AQ75 AC66:AP76 AD65:AN76 AK48:AM51 AK51:AQ64 AK52:AP65 AL48:AN65 AQ34:AQ36 AQ40:AQ42 AQ50">
    <cfRule type="containsText" dxfId="1825" priority="2087" operator="containsText" text="D">
      <formula>NOT(ISERROR(SEARCH("D",L34)))</formula>
    </cfRule>
    <cfRule type="containsText" dxfId="1824" priority="2088" operator="containsText" text="A">
      <formula>NOT(ISERROR(SEARCH("A",L34)))</formula>
    </cfRule>
  </conditionalFormatting>
  <conditionalFormatting sqref="AQ21:AQ39">
    <cfRule type="containsText" dxfId="1823" priority="2085" operator="containsText" text="D">
      <formula>NOT(ISERROR(SEARCH("D",AQ21)))</formula>
    </cfRule>
    <cfRule type="containsText" dxfId="1822" priority="2086" operator="containsText" text="A">
      <formula>NOT(ISERROR(SEARCH("A",AQ21)))</formula>
    </cfRule>
  </conditionalFormatting>
  <conditionalFormatting sqref="L74:T76 V68:AG76 AE70:AI76 AH68:AH70">
    <cfRule type="containsText" dxfId="1821" priority="2083" operator="containsText" text="D">
      <formula>NOT(ISERROR(SEARCH("D",L68)))</formula>
    </cfRule>
    <cfRule type="containsText" dxfId="1820" priority="2084" operator="containsText" text="A">
      <formula>NOT(ISERROR(SEARCH("A",L68)))</formula>
    </cfRule>
  </conditionalFormatting>
  <conditionalFormatting sqref="AQ10:AQ13">
    <cfRule type="containsText" dxfId="1819" priority="2079" operator="containsText" text="D">
      <formula>NOT(ISERROR(SEARCH("D",AQ10)))</formula>
    </cfRule>
    <cfRule type="containsText" dxfId="1818" priority="2080" operator="containsText" text="A">
      <formula>NOT(ISERROR(SEARCH("A",AQ10)))</formula>
    </cfRule>
  </conditionalFormatting>
  <conditionalFormatting sqref="AQ8:AQ26">
    <cfRule type="containsText" dxfId="1817" priority="2077" operator="containsText" text="D">
      <formula>NOT(ISERROR(SEARCH("D",AQ8)))</formula>
    </cfRule>
    <cfRule type="containsText" dxfId="1816" priority="2078" operator="containsText" text="A">
      <formula>NOT(ISERROR(SEARCH("A",AQ8)))</formula>
    </cfRule>
  </conditionalFormatting>
  <conditionalFormatting sqref="T65:V65 T66:T75 U66:U105 V66:V75">
    <cfRule type="containsText" dxfId="1815" priority="2075" operator="containsText" text="D">
      <formula>NOT(ISERROR(SEARCH("D",T65)))</formula>
    </cfRule>
    <cfRule type="containsText" dxfId="1814" priority="2076" operator="containsText" text="A">
      <formula>NOT(ISERROR(SEARCH("A",T65)))</formula>
    </cfRule>
  </conditionalFormatting>
  <conditionalFormatting sqref="AF65:AL76 AN51:AQ51 AN52:AP52 AN53:AQ57 AN54:AP58 AQ47:AQ50">
    <cfRule type="containsText" dxfId="1813" priority="2073" operator="containsText" text="D">
      <formula>NOT(ISERROR(SEARCH("D",AF47)))</formula>
    </cfRule>
    <cfRule type="containsText" dxfId="1812" priority="2074" operator="containsText" text="A">
      <formula>NOT(ISERROR(SEARCH("A",AF47)))</formula>
    </cfRule>
  </conditionalFormatting>
  <conditionalFormatting sqref="U65:AI65 U66:U105 V66:AI75 AD66:AI76">
    <cfRule type="containsText" dxfId="1811" priority="2071" operator="containsText" text="D">
      <formula>NOT(ISERROR(SEARCH("D",U65)))</formula>
    </cfRule>
    <cfRule type="containsText" dxfId="1810" priority="2072" operator="containsText" text="A">
      <formula>NOT(ISERROR(SEARCH("A",U65)))</formula>
    </cfRule>
  </conditionalFormatting>
  <conditionalFormatting sqref="V68:Z68">
    <cfRule type="containsText" dxfId="1809" priority="1155" operator="containsText" text="D">
      <formula>NOT(ISERROR(SEARCH("D",V68)))</formula>
    </cfRule>
    <cfRule type="containsText" dxfId="1808" priority="1156" operator="containsText" text="A">
      <formula>NOT(ISERROR(SEARCH("A",V68)))</formula>
    </cfRule>
    <cfRule type="containsText" dxfId="1807" priority="1163" operator="containsText" text="D">
      <formula>NOT(ISERROR(SEARCH("D",V68)))</formula>
    </cfRule>
    <cfRule type="containsText" dxfId="1806" priority="1164" operator="containsText" text="A">
      <formula>NOT(ISERROR(SEARCH("A",V68)))</formula>
    </cfRule>
    <cfRule type="containsText" dxfId="1805" priority="1169" operator="containsText" text="D">
      <formula>NOT(ISERROR(SEARCH("D",V68)))</formula>
    </cfRule>
    <cfRule type="containsText" dxfId="1804" priority="1170" operator="containsText" text="A">
      <formula>NOT(ISERROR(SEARCH("A",V68)))</formula>
    </cfRule>
    <cfRule type="containsText" dxfId="1803" priority="1895" operator="containsText" text="D">
      <formula>NOT(ISERROR(SEARCH("D",V68)))</formula>
    </cfRule>
    <cfRule type="containsText" dxfId="1802" priority="1896" operator="containsText" text="A">
      <formula>NOT(ISERROR(SEARCH("A",V68)))</formula>
    </cfRule>
    <cfRule type="containsText" dxfId="1801" priority="1897" operator="containsText" text="D">
      <formula>NOT(ISERROR(SEARCH("D",V68)))</formula>
    </cfRule>
    <cfRule type="containsText" dxfId="1800" priority="1898" operator="containsText" text="A">
      <formula>NOT(ISERROR(SEARCH("A",V68)))</formula>
    </cfRule>
    <cfRule type="containsText" dxfId="1799" priority="1997" operator="containsText" text="D">
      <formula>NOT(ISERROR(SEARCH("D",V68)))</formula>
    </cfRule>
    <cfRule type="containsText" dxfId="1798" priority="1998" operator="containsText" text="A">
      <formula>NOT(ISERROR(SEARCH("A",V68)))</formula>
    </cfRule>
    <cfRule type="containsText" dxfId="1797" priority="2003" operator="containsText" text="D">
      <formula>NOT(ISERROR(SEARCH("D",V68)))</formula>
    </cfRule>
    <cfRule type="containsText" dxfId="1796" priority="2004" operator="containsText" text="A">
      <formula>NOT(ISERROR(SEARCH("A",V68)))</formula>
    </cfRule>
    <cfRule type="containsText" dxfId="1795" priority="2011" operator="containsText" text="D">
      <formula>NOT(ISERROR(SEARCH("D",V68)))</formula>
    </cfRule>
    <cfRule type="containsText" dxfId="1794" priority="2012" operator="containsText" text="A">
      <formula>NOT(ISERROR(SEARCH("A",V68)))</formula>
    </cfRule>
    <cfRule type="containsText" dxfId="1793" priority="2017" operator="containsText" text="D">
      <formula>NOT(ISERROR(SEARCH("D",V68)))</formula>
    </cfRule>
    <cfRule type="containsText" dxfId="1792" priority="2018" operator="containsText" text="A">
      <formula>NOT(ISERROR(SEARCH("A",V68)))</formula>
    </cfRule>
    <cfRule type="containsText" dxfId="1791" priority="2069" operator="containsText" text="D">
      <formula>NOT(ISERROR(SEARCH("D",V68)))</formula>
    </cfRule>
    <cfRule type="containsText" dxfId="1790" priority="2070" operator="containsText" text="A">
      <formula>NOT(ISERROR(SEARCH("A",V68)))</formula>
    </cfRule>
  </conditionalFormatting>
  <conditionalFormatting sqref="P65:P76">
    <cfRule type="containsText" dxfId="1789" priority="2067" operator="containsText" text="D">
      <formula>NOT(ISERROR(SEARCH("D",P65)))</formula>
    </cfRule>
    <cfRule type="containsText" dxfId="1788" priority="2068" operator="containsText" text="A">
      <formula>NOT(ISERROR(SEARCH("A",P65)))</formula>
    </cfRule>
  </conditionalFormatting>
  <conditionalFormatting sqref="P66:P76">
    <cfRule type="containsText" dxfId="1787" priority="2065" operator="containsText" text="D">
      <formula>NOT(ISERROR(SEARCH("D",P66)))</formula>
    </cfRule>
    <cfRule type="containsText" dxfId="1786" priority="2066" operator="containsText" text="A">
      <formula>NOT(ISERROR(SEARCH("A",P66)))</formula>
    </cfRule>
  </conditionalFormatting>
  <conditionalFormatting sqref="V69:Z69">
    <cfRule type="containsText" dxfId="1785" priority="1067" operator="containsText" text="D">
      <formula>NOT(ISERROR(SEARCH("D",V69)))</formula>
    </cfRule>
    <cfRule type="containsText" dxfId="1784" priority="1068" operator="containsText" text="A">
      <formula>NOT(ISERROR(SEARCH("A",V69)))</formula>
    </cfRule>
    <cfRule type="containsText" dxfId="1783" priority="1069" operator="containsText" text="D">
      <formula>NOT(ISERROR(SEARCH("D",V69)))</formula>
    </cfRule>
    <cfRule type="containsText" dxfId="1782" priority="1070" operator="containsText" text="A">
      <formula>NOT(ISERROR(SEARCH("A",V69)))</formula>
    </cfRule>
    <cfRule type="containsText" dxfId="1781" priority="1147" operator="containsText" text="D">
      <formula>NOT(ISERROR(SEARCH("D",V69)))</formula>
    </cfRule>
    <cfRule type="containsText" dxfId="1780" priority="1148" operator="containsText" text="A">
      <formula>NOT(ISERROR(SEARCH("A",V69)))</formula>
    </cfRule>
    <cfRule type="containsText" dxfId="1779" priority="1153" operator="containsText" text="D">
      <formula>NOT(ISERROR(SEARCH("D",V69)))</formula>
    </cfRule>
    <cfRule type="containsText" dxfId="1778" priority="1154" operator="containsText" text="A">
      <formula>NOT(ISERROR(SEARCH("A",V69)))</formula>
    </cfRule>
    <cfRule type="containsText" dxfId="1777" priority="1161" operator="containsText" text="D">
      <formula>NOT(ISERROR(SEARCH("D",V69)))</formula>
    </cfRule>
    <cfRule type="containsText" dxfId="1776" priority="1162" operator="containsText" text="A">
      <formula>NOT(ISERROR(SEARCH("A",V69)))</formula>
    </cfRule>
    <cfRule type="containsText" dxfId="1775" priority="1167" operator="containsText" text="D">
      <formula>NOT(ISERROR(SEARCH("D",V69)))</formula>
    </cfRule>
    <cfRule type="containsText" dxfId="1774" priority="1168" operator="containsText" text="A">
      <formula>NOT(ISERROR(SEARCH("A",V69)))</formula>
    </cfRule>
    <cfRule type="containsText" dxfId="1773" priority="1187" operator="containsText" text="D">
      <formula>NOT(ISERROR(SEARCH("D",V69)))</formula>
    </cfRule>
    <cfRule type="containsText" dxfId="1772" priority="1188" operator="containsText" text="A">
      <formula>NOT(ISERROR(SEARCH("A",V69)))</formula>
    </cfRule>
    <cfRule type="containsText" dxfId="1771" priority="1953" operator="containsText" text="D">
      <formula>NOT(ISERROR(SEARCH("D",V69)))</formula>
    </cfRule>
    <cfRule type="containsText" dxfId="1770" priority="1954" operator="containsText" text="A">
      <formula>NOT(ISERROR(SEARCH("A",V69)))</formula>
    </cfRule>
    <cfRule type="containsText" dxfId="1769" priority="1995" operator="containsText" text="D">
      <formula>NOT(ISERROR(SEARCH("D",V69)))</formula>
    </cfRule>
    <cfRule type="containsText" dxfId="1768" priority="1996" operator="containsText" text="A">
      <formula>NOT(ISERROR(SEARCH("A",V69)))</formula>
    </cfRule>
    <cfRule type="containsText" dxfId="1767" priority="2001" operator="containsText" text="D">
      <formula>NOT(ISERROR(SEARCH("D",V69)))</formula>
    </cfRule>
    <cfRule type="containsText" dxfId="1766" priority="2002" operator="containsText" text="A">
      <formula>NOT(ISERROR(SEARCH("A",V69)))</formula>
    </cfRule>
    <cfRule type="containsText" dxfId="1765" priority="2009" operator="containsText" text="D">
      <formula>NOT(ISERROR(SEARCH("D",V69)))</formula>
    </cfRule>
    <cfRule type="containsText" dxfId="1764" priority="2010" operator="containsText" text="A">
      <formula>NOT(ISERROR(SEARCH("A",V69)))</formula>
    </cfRule>
    <cfRule type="containsText" dxfId="1763" priority="2015" operator="containsText" text="D">
      <formula>NOT(ISERROR(SEARCH("D",V69)))</formula>
    </cfRule>
    <cfRule type="containsText" dxfId="1762" priority="2016" operator="containsText" text="A">
      <formula>NOT(ISERROR(SEARCH("A",V69)))</formula>
    </cfRule>
    <cfRule type="containsText" dxfId="1761" priority="2027" operator="containsText" text="D">
      <formula>NOT(ISERROR(SEARCH("D",V69)))</formula>
    </cfRule>
    <cfRule type="containsText" dxfId="1760" priority="2028" operator="containsText" text="A">
      <formula>NOT(ISERROR(SEARCH("A",V69)))</formula>
    </cfRule>
    <cfRule type="containsText" dxfId="1759" priority="2031" operator="containsText" text="D">
      <formula>NOT(ISERROR(SEARCH("D",V69)))</formula>
    </cfRule>
    <cfRule type="containsText" dxfId="1758" priority="2032" operator="containsText" text="A">
      <formula>NOT(ISERROR(SEARCH("A",V69)))</formula>
    </cfRule>
    <cfRule type="containsText" dxfId="1757" priority="2063" operator="containsText" text="D">
      <formula>NOT(ISERROR(SEARCH("D",V69)))</formula>
    </cfRule>
    <cfRule type="containsText" dxfId="1756" priority="2064" operator="containsText" text="A">
      <formula>NOT(ISERROR(SEARCH("A",V69)))</formula>
    </cfRule>
  </conditionalFormatting>
  <conditionalFormatting sqref="S65:S67">
    <cfRule type="containsText" dxfId="1755" priority="2061" operator="containsText" text="D">
      <formula>NOT(ISERROR(SEARCH("D",S65)))</formula>
    </cfRule>
    <cfRule type="containsText" dxfId="1754" priority="2062" operator="containsText" text="A">
      <formula>NOT(ISERROR(SEARCH("A",S65)))</formula>
    </cfRule>
  </conditionalFormatting>
  <conditionalFormatting sqref="W65:W72">
    <cfRule type="containsText" dxfId="1753" priority="1343" operator="containsText" text="D">
      <formula>NOT(ISERROR(SEARCH("D",W65)))</formula>
    </cfRule>
    <cfRule type="containsText" dxfId="1752" priority="1344" operator="containsText" text="A">
      <formula>NOT(ISERROR(SEARCH("A",W65)))</formula>
    </cfRule>
    <cfRule type="containsText" dxfId="1751" priority="2059" operator="containsText" text="D">
      <formula>NOT(ISERROR(SEARCH("D",W65)))</formula>
    </cfRule>
    <cfRule type="containsText" dxfId="1750" priority="2060" operator="containsText" text="A">
      <formula>NOT(ISERROR(SEARCH("A",W65)))</formula>
    </cfRule>
  </conditionalFormatting>
  <conditionalFormatting sqref="Y65:Y74">
    <cfRule type="containsText" dxfId="1749" priority="611" operator="containsText" text="D">
      <formula>NOT(ISERROR(SEARCH("D",Y65)))</formula>
    </cfRule>
    <cfRule type="containsText" dxfId="1748" priority="612" operator="containsText" text="A">
      <formula>NOT(ISERROR(SEARCH("A",Y65)))</formula>
    </cfRule>
    <cfRule type="containsText" dxfId="1747" priority="737" operator="containsText" text="D">
      <formula>NOT(ISERROR(SEARCH("D",Y65)))</formula>
    </cfRule>
    <cfRule type="containsText" dxfId="1746" priority="738" operator="containsText" text="A">
      <formula>NOT(ISERROR(SEARCH("A",Y65)))</formula>
    </cfRule>
    <cfRule type="containsText" dxfId="1745" priority="1341" operator="containsText" text="D">
      <formula>NOT(ISERROR(SEARCH("D",Y65)))</formula>
    </cfRule>
    <cfRule type="containsText" dxfId="1744" priority="1342" operator="containsText" text="A">
      <formula>NOT(ISERROR(SEARCH("A",Y65)))</formula>
    </cfRule>
    <cfRule type="containsText" dxfId="1743" priority="2057" operator="containsText" text="D">
      <formula>NOT(ISERROR(SEARCH("D",Y65)))</formula>
    </cfRule>
    <cfRule type="containsText" dxfId="1742" priority="2058" operator="containsText" text="A">
      <formula>NOT(ISERROR(SEARCH("A",Y65)))</formula>
    </cfRule>
  </conditionalFormatting>
  <conditionalFormatting sqref="AA65:AA75">
    <cfRule type="containsText" dxfId="1741" priority="81" operator="containsText" text="D">
      <formula>NOT(ISERROR(SEARCH("D",AA65)))</formula>
    </cfRule>
    <cfRule type="containsText" dxfId="1740" priority="82" operator="containsText" text="A">
      <formula>NOT(ISERROR(SEARCH("A",AA65)))</formula>
    </cfRule>
    <cfRule type="containsText" dxfId="1739" priority="233" operator="containsText" text="D">
      <formula>NOT(ISERROR(SEARCH("D",AA65)))</formula>
    </cfRule>
    <cfRule type="containsText" dxfId="1738" priority="234" operator="containsText" text="A">
      <formula>NOT(ISERROR(SEARCH("A",AA65)))</formula>
    </cfRule>
    <cfRule type="containsText" dxfId="1737" priority="361" operator="containsText" text="D">
      <formula>NOT(ISERROR(SEARCH("D",AA65)))</formula>
    </cfRule>
    <cfRule type="containsText" dxfId="1736" priority="362" operator="containsText" text="A">
      <formula>NOT(ISERROR(SEARCH("A",AA65)))</formula>
    </cfRule>
    <cfRule type="containsText" dxfId="1735" priority="467" operator="containsText" text="D">
      <formula>NOT(ISERROR(SEARCH("D",AA65)))</formula>
    </cfRule>
    <cfRule type="containsText" dxfId="1734" priority="468" operator="containsText" text="A">
      <formula>NOT(ISERROR(SEARCH("A",AA65)))</formula>
    </cfRule>
    <cfRule type="containsText" dxfId="1733" priority="473" operator="containsText" text="D">
      <formula>NOT(ISERROR(SEARCH("D",AA65)))</formula>
    </cfRule>
    <cfRule type="containsText" dxfId="1732" priority="474" operator="containsText" text="A">
      <formula>NOT(ISERROR(SEARCH("A",AA65)))</formula>
    </cfRule>
    <cfRule type="containsText" dxfId="1731" priority="609" operator="containsText" text="D">
      <formula>NOT(ISERROR(SEARCH("D",AA65)))</formula>
    </cfRule>
    <cfRule type="containsText" dxfId="1730" priority="610" operator="containsText" text="A">
      <formula>NOT(ISERROR(SEARCH("A",AA65)))</formula>
    </cfRule>
    <cfRule type="containsText" dxfId="1729" priority="727" operator="containsText" text="D">
      <formula>NOT(ISERROR(SEARCH("D",AA65)))</formula>
    </cfRule>
    <cfRule type="containsText" dxfId="1728" priority="728" operator="containsText" text="A">
      <formula>NOT(ISERROR(SEARCH("A",AA65)))</formula>
    </cfRule>
    <cfRule type="containsText" dxfId="1727" priority="735" operator="containsText" text="D">
      <formula>NOT(ISERROR(SEARCH("D",AA65)))</formula>
    </cfRule>
    <cfRule type="containsText" dxfId="1726" priority="736" operator="containsText" text="A">
      <formula>NOT(ISERROR(SEARCH("A",AA65)))</formula>
    </cfRule>
    <cfRule type="containsText" dxfId="1725" priority="1329" operator="containsText" text="D">
      <formula>NOT(ISERROR(SEARCH("D",AA65)))</formula>
    </cfRule>
    <cfRule type="containsText" dxfId="1724" priority="1330" operator="containsText" text="A">
      <formula>NOT(ISERROR(SEARCH("A",AA65)))</formula>
    </cfRule>
    <cfRule type="containsText" dxfId="1723" priority="1339" operator="containsText" text="D">
      <formula>NOT(ISERROR(SEARCH("D",AA65)))</formula>
    </cfRule>
    <cfRule type="containsText" dxfId="1722" priority="1340" operator="containsText" text="A">
      <formula>NOT(ISERROR(SEARCH("A",AA65)))</formula>
    </cfRule>
    <cfRule type="containsText" dxfId="1721" priority="2037" operator="containsText" text="D">
      <formula>NOT(ISERROR(SEARCH("D",AA65)))</formula>
    </cfRule>
    <cfRule type="containsText" dxfId="1720" priority="2038" operator="containsText" text="A">
      <formula>NOT(ISERROR(SEARCH("A",AA65)))</formula>
    </cfRule>
    <cfRule type="containsText" dxfId="1719" priority="2055" operator="containsText" text="D">
      <formula>NOT(ISERROR(SEARCH("D",AA65)))</formula>
    </cfRule>
    <cfRule type="containsText" dxfId="1718" priority="2056" operator="containsText" text="A">
      <formula>NOT(ISERROR(SEARCH("A",AA65)))</formula>
    </cfRule>
  </conditionalFormatting>
  <conditionalFormatting sqref="AC65:AC75">
    <cfRule type="containsText" dxfId="1717" priority="79" operator="containsText" text="D">
      <formula>NOT(ISERROR(SEARCH("D",AC65)))</formula>
    </cfRule>
    <cfRule type="containsText" dxfId="1716" priority="80" operator="containsText" text="A">
      <formula>NOT(ISERROR(SEARCH("A",AC65)))</formula>
    </cfRule>
    <cfRule type="containsText" dxfId="1715" priority="87" operator="containsText" text="D">
      <formula>NOT(ISERROR(SEARCH("D",AC65)))</formula>
    </cfRule>
    <cfRule type="containsText" dxfId="1714" priority="88" operator="containsText" text="A">
      <formula>NOT(ISERROR(SEARCH("A",AC65)))</formula>
    </cfRule>
    <cfRule type="containsText" dxfId="1713" priority="231" operator="containsText" text="D">
      <formula>NOT(ISERROR(SEARCH("D",AC65)))</formula>
    </cfRule>
    <cfRule type="containsText" dxfId="1712" priority="232" operator="containsText" text="A">
      <formula>NOT(ISERROR(SEARCH("A",AC65)))</formula>
    </cfRule>
    <cfRule type="containsText" dxfId="1711" priority="239" operator="containsText" text="D">
      <formula>NOT(ISERROR(SEARCH("D",AC65)))</formula>
    </cfRule>
    <cfRule type="containsText" dxfId="1710" priority="240" operator="containsText" text="A">
      <formula>NOT(ISERROR(SEARCH("A",AC65)))</formula>
    </cfRule>
    <cfRule type="containsText" dxfId="1709" priority="359" operator="containsText" text="D">
      <formula>NOT(ISERROR(SEARCH("D",AC65)))</formula>
    </cfRule>
    <cfRule type="containsText" dxfId="1708" priority="360" operator="containsText" text="A">
      <formula>NOT(ISERROR(SEARCH("A",AC65)))</formula>
    </cfRule>
    <cfRule type="containsText" dxfId="1707" priority="367" operator="containsText" text="D">
      <formula>NOT(ISERROR(SEARCH("D",AC65)))</formula>
    </cfRule>
    <cfRule type="containsText" dxfId="1706" priority="368" operator="containsText" text="A">
      <formula>NOT(ISERROR(SEARCH("A",AC65)))</formula>
    </cfRule>
    <cfRule type="containsText" dxfId="1705" priority="465" operator="containsText" text="D">
      <formula>NOT(ISERROR(SEARCH("D",AC65)))</formula>
    </cfRule>
    <cfRule type="containsText" dxfId="1704" priority="466" operator="containsText" text="A">
      <formula>NOT(ISERROR(SEARCH("A",AC65)))</formula>
    </cfRule>
    <cfRule type="containsText" dxfId="1703" priority="471" operator="containsText" text="D">
      <formula>NOT(ISERROR(SEARCH("D",AC65)))</formula>
    </cfRule>
    <cfRule type="containsText" dxfId="1702" priority="472" operator="containsText" text="A">
      <formula>NOT(ISERROR(SEARCH("A",AC65)))</formula>
    </cfRule>
    <cfRule type="containsText" dxfId="1701" priority="607" operator="containsText" text="D">
      <formula>NOT(ISERROR(SEARCH("D",AC65)))</formula>
    </cfRule>
    <cfRule type="containsText" dxfId="1700" priority="608" operator="containsText" text="A">
      <formula>NOT(ISERROR(SEARCH("A",AC65)))</formula>
    </cfRule>
    <cfRule type="containsText" dxfId="1699" priority="617" operator="containsText" text="D">
      <formula>NOT(ISERROR(SEARCH("D",AC65)))</formula>
    </cfRule>
    <cfRule type="containsText" dxfId="1698" priority="618" operator="containsText" text="A">
      <formula>NOT(ISERROR(SEARCH("A",AC65)))</formula>
    </cfRule>
    <cfRule type="containsText" dxfId="1697" priority="725" operator="containsText" text="D">
      <formula>NOT(ISERROR(SEARCH("D",AC65)))</formula>
    </cfRule>
    <cfRule type="containsText" dxfId="1696" priority="726" operator="containsText" text="A">
      <formula>NOT(ISERROR(SEARCH("A",AC65)))</formula>
    </cfRule>
    <cfRule type="containsText" dxfId="1695" priority="733" operator="containsText" text="D">
      <formula>NOT(ISERROR(SEARCH("D",AC65)))</formula>
    </cfRule>
    <cfRule type="containsText" dxfId="1694" priority="734" operator="containsText" text="A">
      <formula>NOT(ISERROR(SEARCH("A",AC65)))</formula>
    </cfRule>
    <cfRule type="containsText" dxfId="1693" priority="1327" operator="containsText" text="D">
      <formula>NOT(ISERROR(SEARCH("D",AC65)))</formula>
    </cfRule>
    <cfRule type="containsText" dxfId="1692" priority="1328" operator="containsText" text="A">
      <formula>NOT(ISERROR(SEARCH("A",AC65)))</formula>
    </cfRule>
    <cfRule type="containsText" dxfId="1691" priority="1337" operator="containsText" text="D">
      <formula>NOT(ISERROR(SEARCH("D",AC65)))</formula>
    </cfRule>
    <cfRule type="containsText" dxfId="1690" priority="1338" operator="containsText" text="A">
      <formula>NOT(ISERROR(SEARCH("A",AC65)))</formula>
    </cfRule>
    <cfRule type="containsText" dxfId="1689" priority="2035" operator="containsText" text="D">
      <formula>NOT(ISERROR(SEARCH("D",AC65)))</formula>
    </cfRule>
    <cfRule type="containsText" dxfId="1688" priority="2036" operator="containsText" text="A">
      <formula>NOT(ISERROR(SEARCH("A",AC65)))</formula>
    </cfRule>
    <cfRule type="containsText" dxfId="1687" priority="2053" operator="containsText" text="D">
      <formula>NOT(ISERROR(SEARCH("D",AC65)))</formula>
    </cfRule>
    <cfRule type="containsText" dxfId="1686" priority="2054" operator="containsText" text="A">
      <formula>NOT(ISERROR(SEARCH("A",AC65)))</formula>
    </cfRule>
  </conditionalFormatting>
  <conditionalFormatting sqref="AE65:AE75">
    <cfRule type="containsText" dxfId="1685" priority="77" operator="containsText" text="D">
      <formula>NOT(ISERROR(SEARCH("D",AE65)))</formula>
    </cfRule>
    <cfRule type="containsText" dxfId="1684" priority="78" operator="containsText" text="A">
      <formula>NOT(ISERROR(SEARCH("A",AE65)))</formula>
    </cfRule>
    <cfRule type="containsText" dxfId="1683" priority="85" operator="containsText" text="D">
      <formula>NOT(ISERROR(SEARCH("D",AE65)))</formula>
    </cfRule>
    <cfRule type="containsText" dxfId="1682" priority="86" operator="containsText" text="A">
      <formula>NOT(ISERROR(SEARCH("A",AE65)))</formula>
    </cfRule>
    <cfRule type="containsText" dxfId="1681" priority="229" operator="containsText" text="D">
      <formula>NOT(ISERROR(SEARCH("D",AE65)))</formula>
    </cfRule>
    <cfRule type="containsText" dxfId="1680" priority="230" operator="containsText" text="A">
      <formula>NOT(ISERROR(SEARCH("A",AE65)))</formula>
    </cfRule>
    <cfRule type="containsText" dxfId="1679" priority="237" operator="containsText" text="D">
      <formula>NOT(ISERROR(SEARCH("D",AE65)))</formula>
    </cfRule>
    <cfRule type="containsText" dxfId="1678" priority="238" operator="containsText" text="A">
      <formula>NOT(ISERROR(SEARCH("A",AE65)))</formula>
    </cfRule>
    <cfRule type="containsText" dxfId="1677" priority="357" operator="containsText" text="D">
      <formula>NOT(ISERROR(SEARCH("D",AE65)))</formula>
    </cfRule>
    <cfRule type="containsText" dxfId="1676" priority="358" operator="containsText" text="A">
      <formula>NOT(ISERROR(SEARCH("A",AE65)))</formula>
    </cfRule>
    <cfRule type="containsText" dxfId="1675" priority="365" operator="containsText" text="D">
      <formula>NOT(ISERROR(SEARCH("D",AE65)))</formula>
    </cfRule>
    <cfRule type="containsText" dxfId="1674" priority="366" operator="containsText" text="A">
      <formula>NOT(ISERROR(SEARCH("A",AE65)))</formula>
    </cfRule>
    <cfRule type="containsText" dxfId="1673" priority="463" operator="containsText" text="D">
      <formula>NOT(ISERROR(SEARCH("D",AE65)))</formula>
    </cfRule>
    <cfRule type="containsText" dxfId="1672" priority="464" operator="containsText" text="A">
      <formula>NOT(ISERROR(SEARCH("A",AE65)))</formula>
    </cfRule>
    <cfRule type="containsText" dxfId="1671" priority="469" operator="containsText" text="D">
      <formula>NOT(ISERROR(SEARCH("D",AE65)))</formula>
    </cfRule>
    <cfRule type="containsText" dxfId="1670" priority="470" operator="containsText" text="A">
      <formula>NOT(ISERROR(SEARCH("A",AE65)))</formula>
    </cfRule>
    <cfRule type="containsText" dxfId="1669" priority="605" operator="containsText" text="D">
      <formula>NOT(ISERROR(SEARCH("D",AE65)))</formula>
    </cfRule>
    <cfRule type="containsText" dxfId="1668" priority="606" operator="containsText" text="A">
      <formula>NOT(ISERROR(SEARCH("A",AE65)))</formula>
    </cfRule>
    <cfRule type="containsText" dxfId="1667" priority="615" operator="containsText" text="D">
      <formula>NOT(ISERROR(SEARCH("D",AE65)))</formula>
    </cfRule>
    <cfRule type="containsText" dxfId="1666" priority="616" operator="containsText" text="A">
      <formula>NOT(ISERROR(SEARCH("A",AE65)))</formula>
    </cfRule>
    <cfRule type="containsText" dxfId="1665" priority="723" operator="containsText" text="D">
      <formula>NOT(ISERROR(SEARCH("D",AE65)))</formula>
    </cfRule>
    <cfRule type="containsText" dxfId="1664" priority="724" operator="containsText" text="A">
      <formula>NOT(ISERROR(SEARCH("A",AE65)))</formula>
    </cfRule>
    <cfRule type="containsText" dxfId="1663" priority="731" operator="containsText" text="D">
      <formula>NOT(ISERROR(SEARCH("D",AE65)))</formula>
    </cfRule>
    <cfRule type="containsText" dxfId="1662" priority="732" operator="containsText" text="A">
      <formula>NOT(ISERROR(SEARCH("A",AE65)))</formula>
    </cfRule>
    <cfRule type="containsText" dxfId="1661" priority="1325" operator="containsText" text="D">
      <formula>NOT(ISERROR(SEARCH("D",AE65)))</formula>
    </cfRule>
    <cfRule type="containsText" dxfId="1660" priority="1326" operator="containsText" text="A">
      <formula>NOT(ISERROR(SEARCH("A",AE65)))</formula>
    </cfRule>
    <cfRule type="containsText" dxfId="1659" priority="1335" operator="containsText" text="D">
      <formula>NOT(ISERROR(SEARCH("D",AE65)))</formula>
    </cfRule>
    <cfRule type="containsText" dxfId="1658" priority="1336" operator="containsText" text="A">
      <formula>NOT(ISERROR(SEARCH("A",AE65)))</formula>
    </cfRule>
    <cfRule type="containsText" dxfId="1657" priority="2033" operator="containsText" text="D">
      <formula>NOT(ISERROR(SEARCH("D",AE65)))</formula>
    </cfRule>
    <cfRule type="containsText" dxfId="1656" priority="2034" operator="containsText" text="A">
      <formula>NOT(ISERROR(SEARCH("A",AE65)))</formula>
    </cfRule>
    <cfRule type="containsText" dxfId="1655" priority="2051" operator="containsText" text="D">
      <formula>NOT(ISERROR(SEARCH("D",AE65)))</formula>
    </cfRule>
    <cfRule type="containsText" dxfId="1654" priority="2052" operator="containsText" text="A">
      <formula>NOT(ISERROR(SEARCH("A",AE65)))</formula>
    </cfRule>
  </conditionalFormatting>
  <conditionalFormatting sqref="AN51:AQ54 AN52:AP55 AQ37:AQ50">
    <cfRule type="containsText" dxfId="1653" priority="2049" operator="containsText" text="D">
      <formula>NOT(ISERROR(SEARCH("D",AN37)))</formula>
    </cfRule>
    <cfRule type="containsText" dxfId="1652" priority="2050" operator="containsText" text="A">
      <formula>NOT(ISERROR(SEARCH("A",AN37)))</formula>
    </cfRule>
  </conditionalFormatting>
  <conditionalFormatting sqref="V70:Z70">
    <cfRule type="containsText" dxfId="1651" priority="1125" operator="containsText" text="D">
      <formula>NOT(ISERROR(SEARCH("D",V70)))</formula>
    </cfRule>
    <cfRule type="containsText" dxfId="1650" priority="1126" operator="containsText" text="A">
      <formula>NOT(ISERROR(SEARCH("A",V70)))</formula>
    </cfRule>
    <cfRule type="containsText" dxfId="1649" priority="1145" operator="containsText" text="D">
      <formula>NOT(ISERROR(SEARCH("D",V70)))</formula>
    </cfRule>
    <cfRule type="containsText" dxfId="1648" priority="1146" operator="containsText" text="A">
      <formula>NOT(ISERROR(SEARCH("A",V70)))</formula>
    </cfRule>
    <cfRule type="containsText" dxfId="1647" priority="1151" operator="containsText" text="D">
      <formula>NOT(ISERROR(SEARCH("D",V70)))</formula>
    </cfRule>
    <cfRule type="containsText" dxfId="1646" priority="1152" operator="containsText" text="A">
      <formula>NOT(ISERROR(SEARCH("A",V70)))</formula>
    </cfRule>
    <cfRule type="containsText" dxfId="1645" priority="1159" operator="containsText" text="D">
      <formula>NOT(ISERROR(SEARCH("D",V70)))</formula>
    </cfRule>
    <cfRule type="containsText" dxfId="1644" priority="1160" operator="containsText" text="A">
      <formula>NOT(ISERROR(SEARCH("A",V70)))</formula>
    </cfRule>
    <cfRule type="containsText" dxfId="1643" priority="1165" operator="containsText" text="D">
      <formula>NOT(ISERROR(SEARCH("D",V70)))</formula>
    </cfRule>
    <cfRule type="containsText" dxfId="1642" priority="1166" operator="containsText" text="A">
      <formula>NOT(ISERROR(SEARCH("A",V70)))</formula>
    </cfRule>
    <cfRule type="containsText" dxfId="1641" priority="1177" operator="containsText" text="D">
      <formula>NOT(ISERROR(SEARCH("D",V70)))</formula>
    </cfRule>
    <cfRule type="containsText" dxfId="1640" priority="1178" operator="containsText" text="A">
      <formula>NOT(ISERROR(SEARCH("A",V70)))</formula>
    </cfRule>
    <cfRule type="containsText" dxfId="1639" priority="1181" operator="containsText" text="D">
      <formula>NOT(ISERROR(SEARCH("D",V70)))</formula>
    </cfRule>
    <cfRule type="containsText" dxfId="1638" priority="1182" operator="containsText" text="A">
      <formula>NOT(ISERROR(SEARCH("A",V70)))</formula>
    </cfRule>
    <cfRule type="containsText" dxfId="1637" priority="1185" operator="containsText" text="D">
      <formula>NOT(ISERROR(SEARCH("D",V70)))</formula>
    </cfRule>
    <cfRule type="containsText" dxfId="1636" priority="1186" operator="containsText" text="A">
      <formula>NOT(ISERROR(SEARCH("A",V70)))</formula>
    </cfRule>
    <cfRule type="containsText" dxfId="1635" priority="1937" operator="containsText" text="D">
      <formula>NOT(ISERROR(SEARCH("D",V70)))</formula>
    </cfRule>
    <cfRule type="containsText" dxfId="1634" priority="1938" operator="containsText" text="A">
      <formula>NOT(ISERROR(SEARCH("A",V70)))</formula>
    </cfRule>
    <cfRule type="containsText" dxfId="1633" priority="1945" operator="containsText" text="D">
      <formula>NOT(ISERROR(SEARCH("D",V70)))</formula>
    </cfRule>
    <cfRule type="containsText" dxfId="1632" priority="1946" operator="containsText" text="A">
      <formula>NOT(ISERROR(SEARCH("A",V70)))</formula>
    </cfRule>
    <cfRule type="containsText" dxfId="1631" priority="1951" operator="containsText" text="D">
      <formula>NOT(ISERROR(SEARCH("D",V70)))</formula>
    </cfRule>
    <cfRule type="containsText" dxfId="1630" priority="1952" operator="containsText" text="A">
      <formula>NOT(ISERROR(SEARCH("A",V70)))</formula>
    </cfRule>
    <cfRule type="containsText" dxfId="1629" priority="1993" operator="containsText" text="D">
      <formula>NOT(ISERROR(SEARCH("D",V70)))</formula>
    </cfRule>
    <cfRule type="containsText" dxfId="1628" priority="1994" operator="containsText" text="A">
      <formula>NOT(ISERROR(SEARCH("A",V70)))</formula>
    </cfRule>
    <cfRule type="containsText" dxfId="1627" priority="1999" operator="containsText" text="D">
      <formula>NOT(ISERROR(SEARCH("D",V70)))</formula>
    </cfRule>
    <cfRule type="containsText" dxfId="1626" priority="2000" operator="containsText" text="A">
      <formula>NOT(ISERROR(SEARCH("A",V70)))</formula>
    </cfRule>
    <cfRule type="containsText" dxfId="1625" priority="2007" operator="containsText" text="D">
      <formula>NOT(ISERROR(SEARCH("D",V70)))</formula>
    </cfRule>
    <cfRule type="containsText" dxfId="1624" priority="2008" operator="containsText" text="A">
      <formula>NOT(ISERROR(SEARCH("A",V70)))</formula>
    </cfRule>
    <cfRule type="containsText" dxfId="1623" priority="2023" operator="containsText" text="D">
      <formula>NOT(ISERROR(SEARCH("D",V70)))</formula>
    </cfRule>
    <cfRule type="containsText" dxfId="1622" priority="2024" operator="containsText" text="A">
      <formula>NOT(ISERROR(SEARCH("A",V70)))</formula>
    </cfRule>
    <cfRule type="containsText" dxfId="1621" priority="2025" operator="containsText" text="D">
      <formula>NOT(ISERROR(SEARCH("D",V70)))</formula>
    </cfRule>
    <cfRule type="containsText" dxfId="1620" priority="2026" operator="containsText" text="A">
      <formula>NOT(ISERROR(SEARCH("A",V70)))</formula>
    </cfRule>
    <cfRule type="containsText" dxfId="1619" priority="2029" operator="containsText" text="D">
      <formula>NOT(ISERROR(SEARCH("D",V70)))</formula>
    </cfRule>
    <cfRule type="containsText" dxfId="1618" priority="2030" operator="containsText" text="A">
      <formula>NOT(ISERROR(SEARCH("A",V70)))</formula>
    </cfRule>
    <cfRule type="containsText" dxfId="1617" priority="2047" operator="containsText" text="D">
      <formula>NOT(ISERROR(SEARCH("D",V70)))</formula>
    </cfRule>
    <cfRule type="containsText" dxfId="1616" priority="2048" operator="containsText" text="A">
      <formula>NOT(ISERROR(SEARCH("A",V70)))</formula>
    </cfRule>
  </conditionalFormatting>
  <conditionalFormatting sqref="Q65:Q67">
    <cfRule type="containsText" dxfId="1615" priority="2045" operator="containsText" text="D">
      <formula>NOT(ISERROR(SEARCH("D",Q65)))</formula>
    </cfRule>
    <cfRule type="containsText" dxfId="1614" priority="2046" operator="containsText" text="A">
      <formula>NOT(ISERROR(SEARCH("A",Q65)))</formula>
    </cfRule>
  </conditionalFormatting>
  <conditionalFormatting sqref="S65:S69">
    <cfRule type="containsText" dxfId="1613" priority="2043" operator="containsText" text="D">
      <formula>NOT(ISERROR(SEARCH("D",S65)))</formula>
    </cfRule>
    <cfRule type="containsText" dxfId="1612" priority="2044" operator="containsText" text="A">
      <formula>NOT(ISERROR(SEARCH("A",S65)))</formula>
    </cfRule>
  </conditionalFormatting>
  <conditionalFormatting sqref="W65:W74">
    <cfRule type="containsText" dxfId="1611" priority="1333" operator="containsText" text="D">
      <formula>NOT(ISERROR(SEARCH("D",W65)))</formula>
    </cfRule>
    <cfRule type="containsText" dxfId="1610" priority="1334" operator="containsText" text="A">
      <formula>NOT(ISERROR(SEARCH("A",W65)))</formula>
    </cfRule>
    <cfRule type="containsText" dxfId="1609" priority="2041" operator="containsText" text="D">
      <formula>NOT(ISERROR(SEARCH("D",W65)))</formula>
    </cfRule>
    <cfRule type="containsText" dxfId="1608" priority="2042" operator="containsText" text="A">
      <formula>NOT(ISERROR(SEARCH("A",W65)))</formula>
    </cfRule>
  </conditionalFormatting>
  <conditionalFormatting sqref="Y65:Y75">
    <cfRule type="containsText" dxfId="1607" priority="729" operator="containsText" text="D">
      <formula>NOT(ISERROR(SEARCH("D",Y65)))</formula>
    </cfRule>
    <cfRule type="containsText" dxfId="1606" priority="730" operator="containsText" text="A">
      <formula>NOT(ISERROR(SEARCH("A",Y65)))</formula>
    </cfRule>
    <cfRule type="containsText" dxfId="1605" priority="1331" operator="containsText" text="D">
      <formula>NOT(ISERROR(SEARCH("D",Y65)))</formula>
    </cfRule>
    <cfRule type="containsText" dxfId="1604" priority="1332" operator="containsText" text="A">
      <formula>NOT(ISERROR(SEARCH("A",Y65)))</formula>
    </cfRule>
    <cfRule type="containsText" dxfId="1603" priority="2039" operator="containsText" text="D">
      <formula>NOT(ISERROR(SEARCH("D",Y65)))</formula>
    </cfRule>
    <cfRule type="containsText" dxfId="1602" priority="2040" operator="containsText" text="A">
      <formula>NOT(ISERROR(SEARCH("A",Y65)))</formula>
    </cfRule>
  </conditionalFormatting>
  <conditionalFormatting sqref="V66:Z66">
    <cfRule type="containsText" dxfId="1601" priority="1093" operator="containsText" text="D">
      <formula>NOT(ISERROR(SEARCH("D",V66)))</formula>
    </cfRule>
    <cfRule type="containsText" dxfId="1600" priority="1094" operator="containsText" text="A">
      <formula>NOT(ISERROR(SEARCH("A",V66)))</formula>
    </cfRule>
    <cfRule type="containsText" dxfId="1599" priority="1095" operator="containsText" text="D">
      <formula>NOT(ISERROR(SEARCH("D",V66)))</formula>
    </cfRule>
    <cfRule type="containsText" dxfId="1598" priority="1096" operator="containsText" text="A">
      <formula>NOT(ISERROR(SEARCH("A",V66)))</formula>
    </cfRule>
    <cfRule type="containsText" dxfId="1597" priority="2021" operator="containsText" text="D">
      <formula>NOT(ISERROR(SEARCH("D",V66)))</formula>
    </cfRule>
    <cfRule type="containsText" dxfId="1596" priority="2022" operator="containsText" text="A">
      <formula>NOT(ISERROR(SEARCH("A",V66)))</formula>
    </cfRule>
  </conditionalFormatting>
  <conditionalFormatting sqref="V67:Z67">
    <cfRule type="containsText" dxfId="1595" priority="1171" operator="containsText" text="D">
      <formula>NOT(ISERROR(SEARCH("D",V67)))</formula>
    </cfRule>
    <cfRule type="containsText" dxfId="1594" priority="1172" operator="containsText" text="A">
      <formula>NOT(ISERROR(SEARCH("A",V67)))</formula>
    </cfRule>
    <cfRule type="containsText" dxfId="1593" priority="2005" operator="containsText" text="D">
      <formula>NOT(ISERROR(SEARCH("D",V67)))</formula>
    </cfRule>
    <cfRule type="containsText" dxfId="1592" priority="2006" operator="containsText" text="A">
      <formula>NOT(ISERROR(SEARCH("A",V67)))</formula>
    </cfRule>
    <cfRule type="containsText" dxfId="1591" priority="2013" operator="containsText" text="D">
      <formula>NOT(ISERROR(SEARCH("D",V67)))</formula>
    </cfRule>
    <cfRule type="containsText" dxfId="1590" priority="2014" operator="containsText" text="A">
      <formula>NOT(ISERROR(SEARCH("A",V67)))</formula>
    </cfRule>
    <cfRule type="containsText" dxfId="1589" priority="2019" operator="containsText" text="D">
      <formula>NOT(ISERROR(SEARCH("D",V67)))</formula>
    </cfRule>
    <cfRule type="containsText" dxfId="1588" priority="2020" operator="containsText" text="A">
      <formula>NOT(ISERROR(SEARCH("A",V67)))</formula>
    </cfRule>
  </conditionalFormatting>
  <conditionalFormatting sqref="V65:V72">
    <cfRule type="containsText" dxfId="1587" priority="1989" operator="containsText" text="D">
      <formula>NOT(ISERROR(SEARCH("D",V65)))</formula>
    </cfRule>
    <cfRule type="containsText" dxfId="1586" priority="1990" operator="containsText" text="A">
      <formula>NOT(ISERROR(SEARCH("A",V65)))</formula>
    </cfRule>
  </conditionalFormatting>
  <conditionalFormatting sqref="X65:X74">
    <cfRule type="containsText" dxfId="1585" priority="1353" operator="containsText" text="D">
      <formula>NOT(ISERROR(SEARCH("D",X65)))</formula>
    </cfRule>
    <cfRule type="containsText" dxfId="1584" priority="1354" operator="containsText" text="A">
      <formula>NOT(ISERROR(SEARCH("A",X65)))</formula>
    </cfRule>
    <cfRule type="containsText" dxfId="1583" priority="1987" operator="containsText" text="D">
      <formula>NOT(ISERROR(SEARCH("D",X65)))</formula>
    </cfRule>
    <cfRule type="containsText" dxfId="1582" priority="1988" operator="containsText" text="A">
      <formula>NOT(ISERROR(SEARCH("A",X65)))</formula>
    </cfRule>
  </conditionalFormatting>
  <conditionalFormatting sqref="Z65:Z75">
    <cfRule type="containsText" dxfId="1581" priority="217" operator="containsText" text="D">
      <formula>NOT(ISERROR(SEARCH("D",Z65)))</formula>
    </cfRule>
    <cfRule type="containsText" dxfId="1580" priority="218" operator="containsText" text="A">
      <formula>NOT(ISERROR(SEARCH("A",Z65)))</formula>
    </cfRule>
    <cfRule type="containsText" dxfId="1579" priority="345" operator="containsText" text="D">
      <formula>NOT(ISERROR(SEARCH("D",Z65)))</formula>
    </cfRule>
    <cfRule type="containsText" dxfId="1578" priority="346" operator="containsText" text="A">
      <formula>NOT(ISERROR(SEARCH("A",Z65)))</formula>
    </cfRule>
    <cfRule type="containsText" dxfId="1577" priority="481" operator="containsText" text="D">
      <formula>NOT(ISERROR(SEARCH("D",Z65)))</formula>
    </cfRule>
    <cfRule type="containsText" dxfId="1576" priority="482" operator="containsText" text="A">
      <formula>NOT(ISERROR(SEARCH("A",Z65)))</formula>
    </cfRule>
    <cfRule type="containsText" dxfId="1575" priority="593" operator="containsText" text="D">
      <formula>NOT(ISERROR(SEARCH("D",Z65)))</formula>
    </cfRule>
    <cfRule type="containsText" dxfId="1574" priority="594" operator="containsText" text="A">
      <formula>NOT(ISERROR(SEARCH("A",Z65)))</formula>
    </cfRule>
    <cfRule type="containsText" dxfId="1573" priority="745" operator="containsText" text="D">
      <formula>NOT(ISERROR(SEARCH("D",Z65)))</formula>
    </cfRule>
    <cfRule type="containsText" dxfId="1572" priority="746" operator="containsText" text="A">
      <formula>NOT(ISERROR(SEARCH("A",Z65)))</formula>
    </cfRule>
    <cfRule type="containsText" dxfId="1571" priority="1351" operator="containsText" text="D">
      <formula>NOT(ISERROR(SEARCH("D",Z65)))</formula>
    </cfRule>
    <cfRule type="containsText" dxfId="1570" priority="1352" operator="containsText" text="A">
      <formula>NOT(ISERROR(SEARCH("A",Z65)))</formula>
    </cfRule>
    <cfRule type="containsText" dxfId="1569" priority="1975" operator="containsText" text="D">
      <formula>NOT(ISERROR(SEARCH("D",Z65)))</formula>
    </cfRule>
    <cfRule type="containsText" dxfId="1568" priority="1976" operator="containsText" text="A">
      <formula>NOT(ISERROR(SEARCH("A",Z65)))</formula>
    </cfRule>
    <cfRule type="containsText" dxfId="1567" priority="1985" operator="containsText" text="D">
      <formula>NOT(ISERROR(SEARCH("D",Z65)))</formula>
    </cfRule>
    <cfRule type="containsText" dxfId="1566" priority="1986" operator="containsText" text="A">
      <formula>NOT(ISERROR(SEARCH("A",Z65)))</formula>
    </cfRule>
  </conditionalFormatting>
  <conditionalFormatting sqref="AB65:AB75">
    <cfRule type="containsText" dxfId="1565" priority="97" operator="containsText" text="D">
      <formula>NOT(ISERROR(SEARCH("D",AB65)))</formula>
    </cfRule>
    <cfRule type="containsText" dxfId="1564" priority="98" operator="containsText" text="A">
      <formula>NOT(ISERROR(SEARCH("A",AB65)))</formula>
    </cfRule>
    <cfRule type="containsText" dxfId="1563" priority="215" operator="containsText" text="D">
      <formula>NOT(ISERROR(SEARCH("D",AB65)))</formula>
    </cfRule>
    <cfRule type="containsText" dxfId="1562" priority="216" operator="containsText" text="A">
      <formula>NOT(ISERROR(SEARCH("A",AB65)))</formula>
    </cfRule>
    <cfRule type="containsText" dxfId="1561" priority="223" operator="containsText" text="D">
      <formula>NOT(ISERROR(SEARCH("D",AB65)))</formula>
    </cfRule>
    <cfRule type="containsText" dxfId="1560" priority="224" operator="containsText" text="A">
      <formula>NOT(ISERROR(SEARCH("A",AB65)))</formula>
    </cfRule>
    <cfRule type="containsText" dxfId="1559" priority="343" operator="containsText" text="D">
      <formula>NOT(ISERROR(SEARCH("D",AB65)))</formula>
    </cfRule>
    <cfRule type="containsText" dxfId="1558" priority="344" operator="containsText" text="A">
      <formula>NOT(ISERROR(SEARCH("A",AB65)))</formula>
    </cfRule>
    <cfRule type="containsText" dxfId="1557" priority="351" operator="containsText" text="D">
      <formula>NOT(ISERROR(SEARCH("D",AB65)))</formula>
    </cfRule>
    <cfRule type="containsText" dxfId="1556" priority="352" operator="containsText" text="A">
      <formula>NOT(ISERROR(SEARCH("A",AB65)))</formula>
    </cfRule>
    <cfRule type="containsText" dxfId="1555" priority="479" operator="containsText" text="D">
      <formula>NOT(ISERROR(SEARCH("D",AB65)))</formula>
    </cfRule>
    <cfRule type="containsText" dxfId="1554" priority="480" operator="containsText" text="A">
      <formula>NOT(ISERROR(SEARCH("A",AB65)))</formula>
    </cfRule>
    <cfRule type="containsText" dxfId="1553" priority="487" operator="containsText" text="D">
      <formula>NOT(ISERROR(SEARCH("D",AB65)))</formula>
    </cfRule>
    <cfRule type="containsText" dxfId="1552" priority="488" operator="containsText" text="A">
      <formula>NOT(ISERROR(SEARCH("A",AB65)))</formula>
    </cfRule>
    <cfRule type="containsText" dxfId="1551" priority="591" operator="containsText" text="D">
      <formula>NOT(ISERROR(SEARCH("D",AB65)))</formula>
    </cfRule>
    <cfRule type="containsText" dxfId="1550" priority="592" operator="containsText" text="A">
      <formula>NOT(ISERROR(SEARCH("A",AB65)))</formula>
    </cfRule>
    <cfRule type="containsText" dxfId="1549" priority="599" operator="containsText" text="D">
      <formula>NOT(ISERROR(SEARCH("D",AB65)))</formula>
    </cfRule>
    <cfRule type="containsText" dxfId="1548" priority="600" operator="containsText" text="A">
      <formula>NOT(ISERROR(SEARCH("A",AB65)))</formula>
    </cfRule>
    <cfRule type="containsText" dxfId="1547" priority="743" operator="containsText" text="D">
      <formula>NOT(ISERROR(SEARCH("D",AB65)))</formula>
    </cfRule>
    <cfRule type="containsText" dxfId="1546" priority="744" operator="containsText" text="A">
      <formula>NOT(ISERROR(SEARCH("A",AB65)))</formula>
    </cfRule>
    <cfRule type="containsText" dxfId="1545" priority="751" operator="containsText" text="D">
      <formula>NOT(ISERROR(SEARCH("D",AB65)))</formula>
    </cfRule>
    <cfRule type="containsText" dxfId="1544" priority="752" operator="containsText" text="A">
      <formula>NOT(ISERROR(SEARCH("A",AB65)))</formula>
    </cfRule>
    <cfRule type="containsText" dxfId="1543" priority="1349" operator="containsText" text="D">
      <formula>NOT(ISERROR(SEARCH("D",AB65)))</formula>
    </cfRule>
    <cfRule type="containsText" dxfId="1542" priority="1350" operator="containsText" text="A">
      <formula>NOT(ISERROR(SEARCH("A",AB65)))</formula>
    </cfRule>
    <cfRule type="containsText" dxfId="1541" priority="1359" operator="containsText" text="D">
      <formula>NOT(ISERROR(SEARCH("D",AB65)))</formula>
    </cfRule>
    <cfRule type="containsText" dxfId="1540" priority="1360" operator="containsText" text="A">
      <formula>NOT(ISERROR(SEARCH("A",AB65)))</formula>
    </cfRule>
    <cfRule type="containsText" dxfId="1539" priority="1973" operator="containsText" text="D">
      <formula>NOT(ISERROR(SEARCH("D",AB65)))</formula>
    </cfRule>
    <cfRule type="containsText" dxfId="1538" priority="1974" operator="containsText" text="A">
      <formula>NOT(ISERROR(SEARCH("A",AB65)))</formula>
    </cfRule>
    <cfRule type="containsText" dxfId="1537" priority="1983" operator="containsText" text="D">
      <formula>NOT(ISERROR(SEARCH("D",AB65)))</formula>
    </cfRule>
    <cfRule type="containsText" dxfId="1536" priority="1984" operator="containsText" text="A">
      <formula>NOT(ISERROR(SEARCH("A",AB65)))</formula>
    </cfRule>
  </conditionalFormatting>
  <conditionalFormatting sqref="AD65:AD75">
    <cfRule type="containsText" dxfId="1535" priority="95" operator="containsText" text="D">
      <formula>NOT(ISERROR(SEARCH("D",AD65)))</formula>
    </cfRule>
    <cfRule type="containsText" dxfId="1534" priority="96" operator="containsText" text="A">
      <formula>NOT(ISERROR(SEARCH("A",AD65)))</formula>
    </cfRule>
    <cfRule type="containsText" dxfId="1533" priority="105" operator="containsText" text="D">
      <formula>NOT(ISERROR(SEARCH("D",AD65)))</formula>
    </cfRule>
    <cfRule type="containsText" dxfId="1532" priority="106" operator="containsText" text="A">
      <formula>NOT(ISERROR(SEARCH("A",AD65)))</formula>
    </cfRule>
    <cfRule type="containsText" dxfId="1531" priority="213" operator="containsText" text="D">
      <formula>NOT(ISERROR(SEARCH("D",AD65)))</formula>
    </cfRule>
    <cfRule type="containsText" dxfId="1530" priority="214" operator="containsText" text="A">
      <formula>NOT(ISERROR(SEARCH("A",AD65)))</formula>
    </cfRule>
    <cfRule type="containsText" dxfId="1529" priority="221" operator="containsText" text="D">
      <formula>NOT(ISERROR(SEARCH("D",AD65)))</formula>
    </cfRule>
    <cfRule type="containsText" dxfId="1528" priority="222" operator="containsText" text="A">
      <formula>NOT(ISERROR(SEARCH("A",AD65)))</formula>
    </cfRule>
    <cfRule type="containsText" dxfId="1527" priority="341" operator="containsText" text="D">
      <formula>NOT(ISERROR(SEARCH("D",AD65)))</formula>
    </cfRule>
    <cfRule type="containsText" dxfId="1526" priority="342" operator="containsText" text="A">
      <formula>NOT(ISERROR(SEARCH("A",AD65)))</formula>
    </cfRule>
    <cfRule type="containsText" dxfId="1525" priority="349" operator="containsText" text="D">
      <formula>NOT(ISERROR(SEARCH("D",AD65)))</formula>
    </cfRule>
    <cfRule type="containsText" dxfId="1524" priority="350" operator="containsText" text="A">
      <formula>NOT(ISERROR(SEARCH("A",AD65)))</formula>
    </cfRule>
    <cfRule type="containsText" dxfId="1523" priority="477" operator="containsText" text="D">
      <formula>NOT(ISERROR(SEARCH("D",AD65)))</formula>
    </cfRule>
    <cfRule type="containsText" dxfId="1522" priority="478" operator="containsText" text="A">
      <formula>NOT(ISERROR(SEARCH("A",AD65)))</formula>
    </cfRule>
    <cfRule type="containsText" dxfId="1521" priority="485" operator="containsText" text="D">
      <formula>NOT(ISERROR(SEARCH("D",AD65)))</formula>
    </cfRule>
    <cfRule type="containsText" dxfId="1520" priority="486" operator="containsText" text="A">
      <formula>NOT(ISERROR(SEARCH("A",AD65)))</formula>
    </cfRule>
    <cfRule type="containsText" dxfId="1519" priority="589" operator="containsText" text="D">
      <formula>NOT(ISERROR(SEARCH("D",AD65)))</formula>
    </cfRule>
    <cfRule type="containsText" dxfId="1518" priority="590" operator="containsText" text="A">
      <formula>NOT(ISERROR(SEARCH("A",AD65)))</formula>
    </cfRule>
    <cfRule type="containsText" dxfId="1517" priority="597" operator="containsText" text="D">
      <formula>NOT(ISERROR(SEARCH("D",AD65)))</formula>
    </cfRule>
    <cfRule type="containsText" dxfId="1516" priority="598" operator="containsText" text="A">
      <formula>NOT(ISERROR(SEARCH("A",AD65)))</formula>
    </cfRule>
    <cfRule type="containsText" dxfId="1515" priority="741" operator="containsText" text="D">
      <formula>NOT(ISERROR(SEARCH("D",AD65)))</formula>
    </cfRule>
    <cfRule type="containsText" dxfId="1514" priority="742" operator="containsText" text="A">
      <formula>NOT(ISERROR(SEARCH("A",AD65)))</formula>
    </cfRule>
    <cfRule type="containsText" dxfId="1513" priority="749" operator="containsText" text="D">
      <formula>NOT(ISERROR(SEARCH("D",AD65)))</formula>
    </cfRule>
    <cfRule type="containsText" dxfId="1512" priority="750" operator="containsText" text="A">
      <formula>NOT(ISERROR(SEARCH("A",AD65)))</formula>
    </cfRule>
    <cfRule type="containsText" dxfId="1511" priority="1347" operator="containsText" text="D">
      <formula>NOT(ISERROR(SEARCH("D",AD65)))</formula>
    </cfRule>
    <cfRule type="containsText" dxfId="1510" priority="1348" operator="containsText" text="A">
      <formula>NOT(ISERROR(SEARCH("A",AD65)))</formula>
    </cfRule>
    <cfRule type="containsText" dxfId="1509" priority="1357" operator="containsText" text="D">
      <formula>NOT(ISERROR(SEARCH("D",AD65)))</formula>
    </cfRule>
    <cfRule type="containsText" dxfId="1508" priority="1358" operator="containsText" text="A">
      <formula>NOT(ISERROR(SEARCH("A",AD65)))</formula>
    </cfRule>
    <cfRule type="containsText" dxfId="1507" priority="1971" operator="containsText" text="D">
      <formula>NOT(ISERROR(SEARCH("D",AD65)))</formula>
    </cfRule>
    <cfRule type="containsText" dxfId="1506" priority="1972" operator="containsText" text="A">
      <formula>NOT(ISERROR(SEARCH("A",AD65)))</formula>
    </cfRule>
    <cfRule type="containsText" dxfId="1505" priority="1981" operator="containsText" text="D">
      <formula>NOT(ISERROR(SEARCH("D",AD65)))</formula>
    </cfRule>
    <cfRule type="containsText" dxfId="1504" priority="1982" operator="containsText" text="A">
      <formula>NOT(ISERROR(SEARCH("A",AD65)))</formula>
    </cfRule>
  </conditionalFormatting>
  <conditionalFormatting sqref="V65:V74">
    <cfRule type="containsText" dxfId="1503" priority="1979" operator="containsText" text="D">
      <formula>NOT(ISERROR(SEARCH("D",V65)))</formula>
    </cfRule>
    <cfRule type="containsText" dxfId="1502" priority="1980" operator="containsText" text="A">
      <formula>NOT(ISERROR(SEARCH("A",V65)))</formula>
    </cfRule>
  </conditionalFormatting>
  <conditionalFormatting sqref="X65:X75">
    <cfRule type="containsText" dxfId="1501" priority="1977" operator="containsText" text="D">
      <formula>NOT(ISERROR(SEARCH("D",X65)))</formula>
    </cfRule>
    <cfRule type="containsText" dxfId="1500" priority="1978" operator="containsText" text="A">
      <formula>NOT(ISERROR(SEARCH("A",X65)))</formula>
    </cfRule>
  </conditionalFormatting>
  <conditionalFormatting sqref="V71:Z71">
    <cfRule type="containsText" dxfId="1499" priority="1109" operator="containsText" text="D">
      <formula>NOT(ISERROR(SEARCH("D",V71)))</formula>
    </cfRule>
    <cfRule type="containsText" dxfId="1498" priority="1110" operator="containsText" text="A">
      <formula>NOT(ISERROR(SEARCH("A",V71)))</formula>
    </cfRule>
    <cfRule type="containsText" dxfId="1497" priority="1117" operator="containsText" text="D">
      <formula>NOT(ISERROR(SEARCH("D",V71)))</formula>
    </cfRule>
    <cfRule type="containsText" dxfId="1496" priority="1118" operator="containsText" text="A">
      <formula>NOT(ISERROR(SEARCH("A",V71)))</formula>
    </cfRule>
    <cfRule type="containsText" dxfId="1495" priority="1123" operator="containsText" text="D">
      <formula>NOT(ISERROR(SEARCH("D",V71)))</formula>
    </cfRule>
    <cfRule type="containsText" dxfId="1494" priority="1124" operator="containsText" text="A">
      <formula>NOT(ISERROR(SEARCH("A",V71)))</formula>
    </cfRule>
    <cfRule type="containsText" dxfId="1493" priority="1143" operator="containsText" text="D">
      <formula>NOT(ISERROR(SEARCH("D",V71)))</formula>
    </cfRule>
    <cfRule type="containsText" dxfId="1492" priority="1144" operator="containsText" text="A">
      <formula>NOT(ISERROR(SEARCH("A",V71)))</formula>
    </cfRule>
    <cfRule type="containsText" dxfId="1491" priority="1149" operator="containsText" text="D">
      <formula>NOT(ISERROR(SEARCH("D",V71)))</formula>
    </cfRule>
    <cfRule type="containsText" dxfId="1490" priority="1150" operator="containsText" text="A">
      <formula>NOT(ISERROR(SEARCH("A",V71)))</formula>
    </cfRule>
    <cfRule type="containsText" dxfId="1489" priority="1157" operator="containsText" text="D">
      <formula>NOT(ISERROR(SEARCH("D",V71)))</formula>
    </cfRule>
    <cfRule type="containsText" dxfId="1488" priority="1158" operator="containsText" text="A">
      <formula>NOT(ISERROR(SEARCH("A",V71)))</formula>
    </cfRule>
    <cfRule type="containsText" dxfId="1487" priority="1173" operator="containsText" text="D">
      <formula>NOT(ISERROR(SEARCH("D",V71)))</formula>
    </cfRule>
    <cfRule type="containsText" dxfId="1486" priority="1174" operator="containsText" text="A">
      <formula>NOT(ISERROR(SEARCH("A",V71)))</formula>
    </cfRule>
    <cfRule type="containsText" dxfId="1485" priority="1175" operator="containsText" text="D">
      <formula>NOT(ISERROR(SEARCH("D",V71)))</formula>
    </cfRule>
    <cfRule type="containsText" dxfId="1484" priority="1176" operator="containsText" text="A">
      <formula>NOT(ISERROR(SEARCH("A",V71)))</formula>
    </cfRule>
    <cfRule type="containsText" dxfId="1483" priority="1179" operator="containsText" text="D">
      <formula>NOT(ISERROR(SEARCH("D",V71)))</formula>
    </cfRule>
    <cfRule type="containsText" dxfId="1482" priority="1180" operator="containsText" text="A">
      <formula>NOT(ISERROR(SEARCH("A",V71)))</formula>
    </cfRule>
    <cfRule type="containsText" dxfId="1481" priority="1183" operator="containsText" text="D">
      <formula>NOT(ISERROR(SEARCH("D",V71)))</formula>
    </cfRule>
    <cfRule type="containsText" dxfId="1480" priority="1184" operator="containsText" text="A">
      <formula>NOT(ISERROR(SEARCH("A",V71)))</formula>
    </cfRule>
    <cfRule type="containsText" dxfId="1479" priority="1871" operator="containsText" text="D">
      <formula>NOT(ISERROR(SEARCH("D",V71)))</formula>
    </cfRule>
    <cfRule type="containsText" dxfId="1478" priority="1872" operator="containsText" text="A">
      <formula>NOT(ISERROR(SEARCH("A",V71)))</formula>
    </cfRule>
    <cfRule type="containsText" dxfId="1477" priority="1873" operator="containsText" text="D">
      <formula>NOT(ISERROR(SEARCH("D",V71)))</formula>
    </cfRule>
    <cfRule type="containsText" dxfId="1476" priority="1874" operator="containsText" text="A">
      <formula>NOT(ISERROR(SEARCH("A",V71)))</formula>
    </cfRule>
    <cfRule type="containsText" dxfId="1475" priority="1929" operator="containsText" text="D">
      <formula>NOT(ISERROR(SEARCH("D",V71)))</formula>
    </cfRule>
    <cfRule type="containsText" dxfId="1474" priority="1930" operator="containsText" text="A">
      <formula>NOT(ISERROR(SEARCH("A",V71)))</formula>
    </cfRule>
    <cfRule type="containsText" dxfId="1473" priority="1935" operator="containsText" text="D">
      <formula>NOT(ISERROR(SEARCH("D",V71)))</formula>
    </cfRule>
    <cfRule type="containsText" dxfId="1472" priority="1936" operator="containsText" text="A">
      <formula>NOT(ISERROR(SEARCH("A",V71)))</formula>
    </cfRule>
    <cfRule type="containsText" dxfId="1471" priority="1943" operator="containsText" text="D">
      <formula>NOT(ISERROR(SEARCH("D",V71)))</formula>
    </cfRule>
    <cfRule type="containsText" dxfId="1470" priority="1944" operator="containsText" text="A">
      <formula>NOT(ISERROR(SEARCH("A",V71)))</formula>
    </cfRule>
    <cfRule type="containsText" dxfId="1469" priority="1949" operator="containsText" text="D">
      <formula>NOT(ISERROR(SEARCH("D",V71)))</formula>
    </cfRule>
    <cfRule type="containsText" dxfId="1468" priority="1950" operator="containsText" text="A">
      <formula>NOT(ISERROR(SEARCH("A",V71)))</formula>
    </cfRule>
    <cfRule type="containsText" dxfId="1467" priority="1969" operator="containsText" text="D">
      <formula>NOT(ISERROR(SEARCH("D",V71)))</formula>
    </cfRule>
    <cfRule type="containsText" dxfId="1466" priority="1970" operator="containsText" text="A">
      <formula>NOT(ISERROR(SEARCH("A",V71)))</formula>
    </cfRule>
  </conditionalFormatting>
  <conditionalFormatting sqref="V72:Z72">
    <cfRule type="containsText" dxfId="1465" priority="1043" operator="containsText" text="D">
      <formula>NOT(ISERROR(SEARCH("D",V72)))</formula>
    </cfRule>
    <cfRule type="containsText" dxfId="1464" priority="1044" operator="containsText" text="A">
      <formula>NOT(ISERROR(SEARCH("A",V72)))</formula>
    </cfRule>
    <cfRule type="containsText" dxfId="1463" priority="1045" operator="containsText" text="D">
      <formula>NOT(ISERROR(SEARCH("D",V72)))</formula>
    </cfRule>
    <cfRule type="containsText" dxfId="1462" priority="1046" operator="containsText" text="A">
      <formula>NOT(ISERROR(SEARCH("A",V72)))</formula>
    </cfRule>
    <cfRule type="containsText" dxfId="1461" priority="1101" operator="containsText" text="D">
      <formula>NOT(ISERROR(SEARCH("D",V72)))</formula>
    </cfRule>
    <cfRule type="containsText" dxfId="1460" priority="1102" operator="containsText" text="A">
      <formula>NOT(ISERROR(SEARCH("A",V72)))</formula>
    </cfRule>
    <cfRule type="containsText" dxfId="1459" priority="1107" operator="containsText" text="D">
      <formula>NOT(ISERROR(SEARCH("D",V72)))</formula>
    </cfRule>
    <cfRule type="containsText" dxfId="1458" priority="1108" operator="containsText" text="A">
      <formula>NOT(ISERROR(SEARCH("A",V72)))</formula>
    </cfRule>
    <cfRule type="containsText" dxfId="1457" priority="1115" operator="containsText" text="D">
      <formula>NOT(ISERROR(SEARCH("D",V72)))</formula>
    </cfRule>
    <cfRule type="containsText" dxfId="1456" priority="1116" operator="containsText" text="A">
      <formula>NOT(ISERROR(SEARCH("A",V72)))</formula>
    </cfRule>
    <cfRule type="containsText" dxfId="1455" priority="1121" operator="containsText" text="D">
      <formula>NOT(ISERROR(SEARCH("D",V72)))</formula>
    </cfRule>
    <cfRule type="containsText" dxfId="1454" priority="1122" operator="containsText" text="A">
      <formula>NOT(ISERROR(SEARCH("A",V72)))</formula>
    </cfRule>
    <cfRule type="containsText" dxfId="1453" priority="1141" operator="containsText" text="D">
      <formula>NOT(ISERROR(SEARCH("D",V72)))</formula>
    </cfRule>
    <cfRule type="containsText" dxfId="1452" priority="1142" operator="containsText" text="A">
      <formula>NOT(ISERROR(SEARCH("A",V72)))</formula>
    </cfRule>
    <cfRule type="containsText" dxfId="1451" priority="1913" operator="containsText" text="D">
      <formula>NOT(ISERROR(SEARCH("D",V72)))</formula>
    </cfRule>
    <cfRule type="containsText" dxfId="1450" priority="1914" operator="containsText" text="A">
      <formula>NOT(ISERROR(SEARCH("A",V72)))</formula>
    </cfRule>
    <cfRule type="containsText" dxfId="1449" priority="1927" operator="containsText" text="D">
      <formula>NOT(ISERROR(SEARCH("D",V72)))</formula>
    </cfRule>
    <cfRule type="containsText" dxfId="1448" priority="1928" operator="containsText" text="A">
      <formula>NOT(ISERROR(SEARCH("A",V72)))</formula>
    </cfRule>
    <cfRule type="containsText" dxfId="1447" priority="1933" operator="containsText" text="D">
      <formula>NOT(ISERROR(SEARCH("D",V72)))</formula>
    </cfRule>
    <cfRule type="containsText" dxfId="1446" priority="1934" operator="containsText" text="A">
      <formula>NOT(ISERROR(SEARCH("A",V72)))</formula>
    </cfRule>
    <cfRule type="containsText" dxfId="1445" priority="1941" operator="containsText" text="D">
      <formula>NOT(ISERROR(SEARCH("D",V72)))</formula>
    </cfRule>
    <cfRule type="containsText" dxfId="1444" priority="1942" operator="containsText" text="A">
      <formula>NOT(ISERROR(SEARCH("A",V72)))</formula>
    </cfRule>
    <cfRule type="containsText" dxfId="1443" priority="1947" operator="containsText" text="D">
      <formula>NOT(ISERROR(SEARCH("D",V72)))</formula>
    </cfRule>
    <cfRule type="containsText" dxfId="1442" priority="1948" operator="containsText" text="A">
      <formula>NOT(ISERROR(SEARCH("A",V72)))</formula>
    </cfRule>
    <cfRule type="containsText" dxfId="1441" priority="1959" operator="containsText" text="D">
      <formula>NOT(ISERROR(SEARCH("D",V72)))</formula>
    </cfRule>
    <cfRule type="containsText" dxfId="1440" priority="1960" operator="containsText" text="A">
      <formula>NOT(ISERROR(SEARCH("A",V72)))</formula>
    </cfRule>
    <cfRule type="containsText" dxfId="1439" priority="1963" operator="containsText" text="D">
      <formula>NOT(ISERROR(SEARCH("D",V72)))</formula>
    </cfRule>
    <cfRule type="containsText" dxfId="1438" priority="1964" operator="containsText" text="A">
      <formula>NOT(ISERROR(SEARCH("A",V72)))</formula>
    </cfRule>
    <cfRule type="containsText" dxfId="1437" priority="1967" operator="containsText" text="D">
      <formula>NOT(ISERROR(SEARCH("D",V72)))</formula>
    </cfRule>
    <cfRule type="containsText" dxfId="1436" priority="1968" operator="containsText" text="A">
      <formula>NOT(ISERROR(SEARCH("A",V72)))</formula>
    </cfRule>
  </conditionalFormatting>
  <conditionalFormatting sqref="V73:Z73">
    <cfRule type="containsText" dxfId="1435" priority="1085" operator="containsText" text="D">
      <formula>NOT(ISERROR(SEARCH("D",V73)))</formula>
    </cfRule>
    <cfRule type="containsText" dxfId="1434" priority="1086" operator="containsText" text="A">
      <formula>NOT(ISERROR(SEARCH("A",V73)))</formula>
    </cfRule>
    <cfRule type="containsText" dxfId="1433" priority="1099" operator="containsText" text="D">
      <formula>NOT(ISERROR(SEARCH("D",V73)))</formula>
    </cfRule>
    <cfRule type="containsText" dxfId="1432" priority="1100" operator="containsText" text="A">
      <formula>NOT(ISERROR(SEARCH("A",V73)))</formula>
    </cfRule>
    <cfRule type="containsText" dxfId="1431" priority="1105" operator="containsText" text="D">
      <formula>NOT(ISERROR(SEARCH("D",V73)))</formula>
    </cfRule>
    <cfRule type="containsText" dxfId="1430" priority="1106" operator="containsText" text="A">
      <formula>NOT(ISERROR(SEARCH("A",V73)))</formula>
    </cfRule>
    <cfRule type="containsText" dxfId="1429" priority="1113" operator="containsText" text="D">
      <formula>NOT(ISERROR(SEARCH("D",V73)))</formula>
    </cfRule>
    <cfRule type="containsText" dxfId="1428" priority="1114" operator="containsText" text="A">
      <formula>NOT(ISERROR(SEARCH("A",V73)))</formula>
    </cfRule>
    <cfRule type="containsText" dxfId="1427" priority="1119" operator="containsText" text="D">
      <formula>NOT(ISERROR(SEARCH("D",V73)))</formula>
    </cfRule>
    <cfRule type="containsText" dxfId="1426" priority="1120" operator="containsText" text="A">
      <formula>NOT(ISERROR(SEARCH("A",V73)))</formula>
    </cfRule>
    <cfRule type="containsText" dxfId="1425" priority="1131" operator="containsText" text="D">
      <formula>NOT(ISERROR(SEARCH("D",V73)))</formula>
    </cfRule>
    <cfRule type="containsText" dxfId="1424" priority="1132" operator="containsText" text="A">
      <formula>NOT(ISERROR(SEARCH("A",V73)))</formula>
    </cfRule>
    <cfRule type="containsText" dxfId="1423" priority="1135" operator="containsText" text="D">
      <formula>NOT(ISERROR(SEARCH("D",V73)))</formula>
    </cfRule>
    <cfRule type="containsText" dxfId="1422" priority="1136" operator="containsText" text="A">
      <formula>NOT(ISERROR(SEARCH("A",V73)))</formula>
    </cfRule>
    <cfRule type="containsText" dxfId="1421" priority="1139" operator="containsText" text="D">
      <formula>NOT(ISERROR(SEARCH("D",V73)))</formula>
    </cfRule>
    <cfRule type="containsText" dxfId="1420" priority="1140" operator="containsText" text="A">
      <formula>NOT(ISERROR(SEARCH("A",V73)))</formula>
    </cfRule>
    <cfRule type="containsText" dxfId="1419" priority="1903" operator="containsText" text="D">
      <formula>NOT(ISERROR(SEARCH("D",V73)))</formula>
    </cfRule>
    <cfRule type="containsText" dxfId="1418" priority="1904" operator="containsText" text="A">
      <formula>NOT(ISERROR(SEARCH("A",V73)))</formula>
    </cfRule>
    <cfRule type="containsText" dxfId="1417" priority="1907" operator="containsText" text="D">
      <formula>NOT(ISERROR(SEARCH("D",V73)))</formula>
    </cfRule>
    <cfRule type="containsText" dxfId="1416" priority="1908" operator="containsText" text="A">
      <formula>NOT(ISERROR(SEARCH("A",V73)))</formula>
    </cfRule>
    <cfRule type="containsText" dxfId="1415" priority="1911" operator="containsText" text="D">
      <formula>NOT(ISERROR(SEARCH("D",V73)))</formula>
    </cfRule>
    <cfRule type="containsText" dxfId="1414" priority="1912" operator="containsText" text="A">
      <formula>NOT(ISERROR(SEARCH("A",V73)))</formula>
    </cfRule>
    <cfRule type="containsText" dxfId="1413" priority="1925" operator="containsText" text="D">
      <formula>NOT(ISERROR(SEARCH("D",V73)))</formula>
    </cfRule>
    <cfRule type="containsText" dxfId="1412" priority="1926" operator="containsText" text="A">
      <formula>NOT(ISERROR(SEARCH("A",V73)))</formula>
    </cfRule>
    <cfRule type="containsText" dxfId="1411" priority="1931" operator="containsText" text="D">
      <formula>NOT(ISERROR(SEARCH("D",V73)))</formula>
    </cfRule>
    <cfRule type="containsText" dxfId="1410" priority="1932" operator="containsText" text="A">
      <formula>NOT(ISERROR(SEARCH("A",V73)))</formula>
    </cfRule>
    <cfRule type="containsText" dxfId="1409" priority="1939" operator="containsText" text="D">
      <formula>NOT(ISERROR(SEARCH("D",V73)))</formula>
    </cfRule>
    <cfRule type="containsText" dxfId="1408" priority="1940" operator="containsText" text="A">
      <formula>NOT(ISERROR(SEARCH("A",V73)))</formula>
    </cfRule>
    <cfRule type="containsText" dxfId="1407" priority="1955" operator="containsText" text="D">
      <formula>NOT(ISERROR(SEARCH("D",V73)))</formula>
    </cfRule>
    <cfRule type="containsText" dxfId="1406" priority="1956" operator="containsText" text="A">
      <formula>NOT(ISERROR(SEARCH("A",V73)))</formula>
    </cfRule>
    <cfRule type="containsText" dxfId="1405" priority="1957" operator="containsText" text="D">
      <formula>NOT(ISERROR(SEARCH("D",V73)))</formula>
    </cfRule>
    <cfRule type="containsText" dxfId="1404" priority="1958" operator="containsText" text="A">
      <formula>NOT(ISERROR(SEARCH("A",V73)))</formula>
    </cfRule>
    <cfRule type="containsText" dxfId="1403" priority="1961" operator="containsText" text="D">
      <formula>NOT(ISERROR(SEARCH("D",V73)))</formula>
    </cfRule>
    <cfRule type="containsText" dxfId="1402" priority="1962" operator="containsText" text="A">
      <formula>NOT(ISERROR(SEARCH("A",V73)))</formula>
    </cfRule>
    <cfRule type="containsText" dxfId="1401" priority="1965" operator="containsText" text="D">
      <formula>NOT(ISERROR(SEARCH("D",V73)))</formula>
    </cfRule>
    <cfRule type="containsText" dxfId="1400" priority="1966" operator="containsText" text="A">
      <formula>NOT(ISERROR(SEARCH("A",V73)))</formula>
    </cfRule>
  </conditionalFormatting>
  <conditionalFormatting sqref="V65:Z65">
    <cfRule type="containsText" dxfId="1399" priority="1921" operator="containsText" text="D">
      <formula>NOT(ISERROR(SEARCH("D",V65)))</formula>
    </cfRule>
    <cfRule type="containsText" dxfId="1398" priority="1922" operator="containsText" text="A">
      <formula>NOT(ISERROR(SEARCH("A",V65)))</formula>
    </cfRule>
    <cfRule type="containsText" dxfId="1397" priority="1923" operator="containsText" text="D">
      <formula>NOT(ISERROR(SEARCH("D",V65)))</formula>
    </cfRule>
    <cfRule type="containsText" dxfId="1396" priority="1924" operator="containsText" text="A">
      <formula>NOT(ISERROR(SEARCH("A",V65)))</formula>
    </cfRule>
  </conditionalFormatting>
  <conditionalFormatting sqref="X67:AB67">
    <cfRule type="containsText" dxfId="1395" priority="1917" operator="containsText" text="D">
      <formula>NOT(ISERROR(SEARCH("D",X67)))</formula>
    </cfRule>
    <cfRule type="containsText" dxfId="1394" priority="1918" operator="containsText" text="A">
      <formula>NOT(ISERROR(SEARCH("A",X67)))</formula>
    </cfRule>
    <cfRule type="containsText" dxfId="1393" priority="1919" operator="containsText" text="D">
      <formula>NOT(ISERROR(SEARCH("D",X67)))</formula>
    </cfRule>
    <cfRule type="containsText" dxfId="1392" priority="1920" operator="containsText" text="A">
      <formula>NOT(ISERROR(SEARCH("A",X67)))</formula>
    </cfRule>
  </conditionalFormatting>
  <conditionalFormatting sqref="V74:Z74">
    <cfRule type="containsText" dxfId="1391" priority="1075" operator="containsText" text="D">
      <formula>NOT(ISERROR(SEARCH("D",V74)))</formula>
    </cfRule>
    <cfRule type="containsText" dxfId="1390" priority="1076" operator="containsText" text="A">
      <formula>NOT(ISERROR(SEARCH("A",V74)))</formula>
    </cfRule>
    <cfRule type="containsText" dxfId="1389" priority="1079" operator="containsText" text="D">
      <formula>NOT(ISERROR(SEARCH("D",V74)))</formula>
    </cfRule>
    <cfRule type="containsText" dxfId="1388" priority="1080" operator="containsText" text="A">
      <formula>NOT(ISERROR(SEARCH("A",V74)))</formula>
    </cfRule>
    <cfRule type="containsText" dxfId="1387" priority="1083" operator="containsText" text="D">
      <formula>NOT(ISERROR(SEARCH("D",V74)))</formula>
    </cfRule>
    <cfRule type="containsText" dxfId="1386" priority="1084" operator="containsText" text="A">
      <formula>NOT(ISERROR(SEARCH("A",V74)))</formula>
    </cfRule>
    <cfRule type="containsText" dxfId="1385" priority="1097" operator="containsText" text="D">
      <formula>NOT(ISERROR(SEARCH("D",V74)))</formula>
    </cfRule>
    <cfRule type="containsText" dxfId="1384" priority="1098" operator="containsText" text="A">
      <formula>NOT(ISERROR(SEARCH("A",V74)))</formula>
    </cfRule>
    <cfRule type="containsText" dxfId="1383" priority="1103" operator="containsText" text="D">
      <formula>NOT(ISERROR(SEARCH("D",V74)))</formula>
    </cfRule>
    <cfRule type="containsText" dxfId="1382" priority="1104" operator="containsText" text="A">
      <formula>NOT(ISERROR(SEARCH("A",V74)))</formula>
    </cfRule>
    <cfRule type="containsText" dxfId="1381" priority="1111" operator="containsText" text="D">
      <formula>NOT(ISERROR(SEARCH("D",V74)))</formula>
    </cfRule>
    <cfRule type="containsText" dxfId="1380" priority="1112" operator="containsText" text="A">
      <formula>NOT(ISERROR(SEARCH("A",V74)))</formula>
    </cfRule>
    <cfRule type="containsText" dxfId="1379" priority="1127" operator="containsText" text="D">
      <formula>NOT(ISERROR(SEARCH("D",V74)))</formula>
    </cfRule>
    <cfRule type="containsText" dxfId="1378" priority="1128" operator="containsText" text="A">
      <formula>NOT(ISERROR(SEARCH("A",V74)))</formula>
    </cfRule>
    <cfRule type="containsText" dxfId="1377" priority="1129" operator="containsText" text="D">
      <formula>NOT(ISERROR(SEARCH("D",V74)))</formula>
    </cfRule>
    <cfRule type="containsText" dxfId="1376" priority="1130" operator="containsText" text="A">
      <formula>NOT(ISERROR(SEARCH("A",V74)))</formula>
    </cfRule>
    <cfRule type="containsText" dxfId="1375" priority="1133" operator="containsText" text="D">
      <formula>NOT(ISERROR(SEARCH("D",V74)))</formula>
    </cfRule>
    <cfRule type="containsText" dxfId="1374" priority="1134" operator="containsText" text="A">
      <formula>NOT(ISERROR(SEARCH("A",V74)))</formula>
    </cfRule>
    <cfRule type="containsText" dxfId="1373" priority="1137" operator="containsText" text="D">
      <formula>NOT(ISERROR(SEARCH("D",V74)))</formula>
    </cfRule>
    <cfRule type="containsText" dxfId="1372" priority="1138" operator="containsText" text="A">
      <formula>NOT(ISERROR(SEARCH("A",V74)))</formula>
    </cfRule>
    <cfRule type="containsText" dxfId="1371" priority="1899" operator="containsText" text="D">
      <formula>NOT(ISERROR(SEARCH("D",V74)))</formula>
    </cfRule>
    <cfRule type="containsText" dxfId="1370" priority="1900" operator="containsText" text="A">
      <formula>NOT(ISERROR(SEARCH("A",V74)))</formula>
    </cfRule>
    <cfRule type="containsText" dxfId="1369" priority="1901" operator="containsText" text="D">
      <formula>NOT(ISERROR(SEARCH("D",V74)))</formula>
    </cfRule>
    <cfRule type="containsText" dxfId="1368" priority="1902" operator="containsText" text="A">
      <formula>NOT(ISERROR(SEARCH("A",V74)))</formula>
    </cfRule>
    <cfRule type="containsText" dxfId="1367" priority="1905" operator="containsText" text="D">
      <formula>NOT(ISERROR(SEARCH("D",V74)))</formula>
    </cfRule>
    <cfRule type="containsText" dxfId="1366" priority="1906" operator="containsText" text="A">
      <formula>NOT(ISERROR(SEARCH("A",V74)))</formula>
    </cfRule>
    <cfRule type="containsText" dxfId="1365" priority="1909" operator="containsText" text="D">
      <formula>NOT(ISERROR(SEARCH("D",V74)))</formula>
    </cfRule>
    <cfRule type="containsText" dxfId="1364" priority="1910" operator="containsText" text="A">
      <formula>NOT(ISERROR(SEARCH("A",V74)))</formula>
    </cfRule>
    <cfRule type="containsText" dxfId="1363" priority="1915" operator="containsText" text="D">
      <formula>NOT(ISERROR(SEARCH("D",V74)))</formula>
    </cfRule>
    <cfRule type="containsText" dxfId="1362" priority="1916" operator="containsText" text="A">
      <formula>NOT(ISERROR(SEARCH("A",V74)))</formula>
    </cfRule>
  </conditionalFormatting>
  <conditionalFormatting sqref="X70:AB70">
    <cfRule type="containsText" dxfId="1361" priority="1891" operator="containsText" text="D">
      <formula>NOT(ISERROR(SEARCH("D",X70)))</formula>
    </cfRule>
    <cfRule type="containsText" dxfId="1360" priority="1892" operator="containsText" text="A">
      <formula>NOT(ISERROR(SEARCH("A",X70)))</formula>
    </cfRule>
    <cfRule type="containsText" dxfId="1359" priority="1893" operator="containsText" text="D">
      <formula>NOT(ISERROR(SEARCH("D",X70)))</formula>
    </cfRule>
    <cfRule type="containsText" dxfId="1358" priority="1894" operator="containsText" text="A">
      <formula>NOT(ISERROR(SEARCH("A",X70)))</formula>
    </cfRule>
  </conditionalFormatting>
  <conditionalFormatting sqref="AA65:AE65">
    <cfRule type="containsText" dxfId="1357" priority="1883" operator="containsText" text="D">
      <formula>NOT(ISERROR(SEARCH("D",AA65)))</formula>
    </cfRule>
    <cfRule type="containsText" dxfId="1356" priority="1884" operator="containsText" text="A">
      <formula>NOT(ISERROR(SEARCH("A",AA65)))</formula>
    </cfRule>
    <cfRule type="containsText" dxfId="1355" priority="1885" operator="containsText" text="D">
      <formula>NOT(ISERROR(SEARCH("D",AA65)))</formula>
    </cfRule>
    <cfRule type="containsText" dxfId="1354" priority="1886" operator="containsText" text="A">
      <formula>NOT(ISERROR(SEARCH("A",AA65)))</formula>
    </cfRule>
    <cfRule type="containsText" dxfId="1353" priority="1887" operator="containsText" text="D">
      <formula>NOT(ISERROR(SEARCH("D",AA65)))</formula>
    </cfRule>
    <cfRule type="containsText" dxfId="1352" priority="1888" operator="containsText" text="A">
      <formula>NOT(ISERROR(SEARCH("A",AA65)))</formula>
    </cfRule>
    <cfRule type="containsText" dxfId="1351" priority="1889" operator="containsText" text="D">
      <formula>NOT(ISERROR(SEARCH("D",AA65)))</formula>
    </cfRule>
    <cfRule type="containsText" dxfId="1350" priority="1890" operator="containsText" text="A">
      <formula>NOT(ISERROR(SEARCH("A",AA65)))</formula>
    </cfRule>
  </conditionalFormatting>
  <conditionalFormatting sqref="AB67:AF67">
    <cfRule type="containsText" dxfId="1349" priority="1875" operator="containsText" text="D">
      <formula>NOT(ISERROR(SEARCH("D",AB67)))</formula>
    </cfRule>
    <cfRule type="containsText" dxfId="1348" priority="1876" operator="containsText" text="A">
      <formula>NOT(ISERROR(SEARCH("A",AB67)))</formula>
    </cfRule>
    <cfRule type="containsText" dxfId="1347" priority="1877" operator="containsText" text="D">
      <formula>NOT(ISERROR(SEARCH("D",AB67)))</formula>
    </cfRule>
    <cfRule type="containsText" dxfId="1346" priority="1878" operator="containsText" text="A">
      <formula>NOT(ISERROR(SEARCH("A",AB67)))</formula>
    </cfRule>
    <cfRule type="containsText" dxfId="1345" priority="1879" operator="containsText" text="D">
      <formula>NOT(ISERROR(SEARCH("D",AB67)))</formula>
    </cfRule>
    <cfRule type="containsText" dxfId="1344" priority="1880" operator="containsText" text="A">
      <formula>NOT(ISERROR(SEARCH("A",AB67)))</formula>
    </cfRule>
    <cfRule type="containsText" dxfId="1343" priority="1881" operator="containsText" text="D">
      <formula>NOT(ISERROR(SEARCH("D",AB67)))</formula>
    </cfRule>
    <cfRule type="containsText" dxfId="1342" priority="1882" operator="containsText" text="A">
      <formula>NOT(ISERROR(SEARCH("A",AB67)))</formula>
    </cfRule>
  </conditionalFormatting>
  <conditionalFormatting sqref="X73:AB73">
    <cfRule type="containsText" dxfId="1341" priority="1867" operator="containsText" text="D">
      <formula>NOT(ISERROR(SEARCH("D",X73)))</formula>
    </cfRule>
    <cfRule type="containsText" dxfId="1340" priority="1868" operator="containsText" text="A">
      <formula>NOT(ISERROR(SEARCH("A",X73)))</formula>
    </cfRule>
    <cfRule type="containsText" dxfId="1339" priority="1869" operator="containsText" text="D">
      <formula>NOT(ISERROR(SEARCH("D",X73)))</formula>
    </cfRule>
    <cfRule type="containsText" dxfId="1338" priority="1870" operator="containsText" text="A">
      <formula>NOT(ISERROR(SEARCH("A",X73)))</formula>
    </cfRule>
  </conditionalFormatting>
  <conditionalFormatting sqref="Z65:AD65">
    <cfRule type="containsText" dxfId="1337" priority="1859" operator="containsText" text="D">
      <formula>NOT(ISERROR(SEARCH("D",Z65)))</formula>
    </cfRule>
    <cfRule type="containsText" dxfId="1336" priority="1860" operator="containsText" text="A">
      <formula>NOT(ISERROR(SEARCH("A",Z65)))</formula>
    </cfRule>
    <cfRule type="containsText" dxfId="1335" priority="1861" operator="containsText" text="D">
      <formula>NOT(ISERROR(SEARCH("D",Z65)))</formula>
    </cfRule>
    <cfRule type="containsText" dxfId="1334" priority="1862" operator="containsText" text="A">
      <formula>NOT(ISERROR(SEARCH("A",Z65)))</formula>
    </cfRule>
    <cfRule type="containsText" dxfId="1333" priority="1863" operator="containsText" text="D">
      <formula>NOT(ISERROR(SEARCH("D",Z65)))</formula>
    </cfRule>
    <cfRule type="containsText" dxfId="1332" priority="1864" operator="containsText" text="A">
      <formula>NOT(ISERROR(SEARCH("A",Z65)))</formula>
    </cfRule>
    <cfRule type="containsText" dxfId="1331" priority="1865" operator="containsText" text="D">
      <formula>NOT(ISERROR(SEARCH("D",Z65)))</formula>
    </cfRule>
    <cfRule type="containsText" dxfId="1330" priority="1866" operator="containsText" text="A">
      <formula>NOT(ISERROR(SEARCH("A",Z65)))</formula>
    </cfRule>
  </conditionalFormatting>
  <conditionalFormatting sqref="AA68:AE68">
    <cfRule type="containsText" dxfId="1329" priority="1851" operator="containsText" text="D">
      <formula>NOT(ISERROR(SEARCH("D",AA68)))</formula>
    </cfRule>
    <cfRule type="containsText" dxfId="1328" priority="1852" operator="containsText" text="A">
      <formula>NOT(ISERROR(SEARCH("A",AA68)))</formula>
    </cfRule>
    <cfRule type="containsText" dxfId="1327" priority="1853" operator="containsText" text="D">
      <formula>NOT(ISERROR(SEARCH("D",AA68)))</formula>
    </cfRule>
    <cfRule type="containsText" dxfId="1326" priority="1854" operator="containsText" text="A">
      <formula>NOT(ISERROR(SEARCH("A",AA68)))</formula>
    </cfRule>
    <cfRule type="containsText" dxfId="1325" priority="1855" operator="containsText" text="D">
      <formula>NOT(ISERROR(SEARCH("D",AA68)))</formula>
    </cfRule>
    <cfRule type="containsText" dxfId="1324" priority="1856" operator="containsText" text="A">
      <formula>NOT(ISERROR(SEARCH("A",AA68)))</formula>
    </cfRule>
    <cfRule type="containsText" dxfId="1323" priority="1857" operator="containsText" text="D">
      <formula>NOT(ISERROR(SEARCH("D",AA68)))</formula>
    </cfRule>
    <cfRule type="containsText" dxfId="1322" priority="1858" operator="containsText" text="A">
      <formula>NOT(ISERROR(SEARCH("A",AA68)))</formula>
    </cfRule>
  </conditionalFormatting>
  <conditionalFormatting sqref="AB70:AF70">
    <cfRule type="containsText" dxfId="1321" priority="1843" operator="containsText" text="D">
      <formula>NOT(ISERROR(SEARCH("D",AB70)))</formula>
    </cfRule>
    <cfRule type="containsText" dxfId="1320" priority="1844" operator="containsText" text="A">
      <formula>NOT(ISERROR(SEARCH("A",AB70)))</formula>
    </cfRule>
    <cfRule type="containsText" dxfId="1319" priority="1845" operator="containsText" text="D">
      <formula>NOT(ISERROR(SEARCH("D",AB70)))</formula>
    </cfRule>
    <cfRule type="containsText" dxfId="1318" priority="1846" operator="containsText" text="A">
      <formula>NOT(ISERROR(SEARCH("A",AB70)))</formula>
    </cfRule>
    <cfRule type="containsText" dxfId="1317" priority="1847" operator="containsText" text="D">
      <formula>NOT(ISERROR(SEARCH("D",AB70)))</formula>
    </cfRule>
    <cfRule type="containsText" dxfId="1316" priority="1848" operator="containsText" text="A">
      <formula>NOT(ISERROR(SEARCH("A",AB70)))</formula>
    </cfRule>
    <cfRule type="containsText" dxfId="1315" priority="1849" operator="containsText" text="D">
      <formula>NOT(ISERROR(SEARCH("D",AB70)))</formula>
    </cfRule>
    <cfRule type="containsText" dxfId="1314" priority="1850" operator="containsText" text="A">
      <formula>NOT(ISERROR(SEARCH("A",AB70)))</formula>
    </cfRule>
  </conditionalFormatting>
  <conditionalFormatting sqref="T75">
    <cfRule type="containsText" dxfId="1313" priority="1841" operator="containsText" text="D">
      <formula>NOT(ISERROR(SEARCH("D",T75)))</formula>
    </cfRule>
    <cfRule type="containsText" dxfId="1312" priority="1842" operator="containsText" text="A">
      <formula>NOT(ISERROR(SEARCH("A",T75)))</formula>
    </cfRule>
  </conditionalFormatting>
  <conditionalFormatting sqref="AK34:AP37 AK50:AP51">
    <cfRule type="containsText" dxfId="1311" priority="1839" operator="containsText" text="D">
      <formula>NOT(ISERROR(SEARCH("D",AK34)))</formula>
    </cfRule>
    <cfRule type="containsText" dxfId="1310" priority="1840" operator="containsText" text="A">
      <formula>NOT(ISERROR(SEARCH("A",AK34)))</formula>
    </cfRule>
  </conditionalFormatting>
  <conditionalFormatting sqref="AN21:AP34">
    <cfRule type="containsText" dxfId="1309" priority="1837" operator="containsText" text="D">
      <formula>NOT(ISERROR(SEARCH("D",AN21)))</formula>
    </cfRule>
    <cfRule type="containsText" dxfId="1308" priority="1838" operator="containsText" text="A">
      <formula>NOT(ISERROR(SEARCH("A",AN21)))</formula>
    </cfRule>
  </conditionalFormatting>
  <conditionalFormatting sqref="AN8:AP21">
    <cfRule type="containsText" dxfId="1307" priority="1831" operator="containsText" text="D">
      <formula>NOT(ISERROR(SEARCH("D",AN8)))</formula>
    </cfRule>
    <cfRule type="containsText" dxfId="1306" priority="1832" operator="containsText" text="A">
      <formula>NOT(ISERROR(SEARCH("A",AN8)))</formula>
    </cfRule>
  </conditionalFormatting>
  <conditionalFormatting sqref="AN47:AP51">
    <cfRule type="containsText" dxfId="1305" priority="1829" operator="containsText" text="D">
      <formula>NOT(ISERROR(SEARCH("D",AN47)))</formula>
    </cfRule>
    <cfRule type="containsText" dxfId="1304" priority="1830" operator="containsText" text="A">
      <formula>NOT(ISERROR(SEARCH("A",AN47)))</formula>
    </cfRule>
  </conditionalFormatting>
  <conditionalFormatting sqref="AN37:AP49">
    <cfRule type="containsText" dxfId="1303" priority="1827" operator="containsText" text="D">
      <formula>NOT(ISERROR(SEARCH("D",AN37)))</formula>
    </cfRule>
    <cfRule type="containsText" dxfId="1302" priority="1828" operator="containsText" text="A">
      <formula>NOT(ISERROR(SEARCH("A",AN37)))</formula>
    </cfRule>
  </conditionalFormatting>
  <conditionalFormatting sqref="L17:L65 M17:AD22 M22:V65 V22:AE47 AC22:AG65 AE8:AM47 AF48:AM65 AG7:AM46 AJ47:AM64">
    <cfRule type="containsText" dxfId="1301" priority="1823" operator="containsText" text="D">
      <formula>NOT(ISERROR(SEARCH("D",L7)))</formula>
    </cfRule>
    <cfRule type="containsText" dxfId="1300" priority="1824" operator="containsText" text="A">
      <formula>NOT(ISERROR(SEARCH("A",L7)))</formula>
    </cfRule>
  </conditionalFormatting>
  <conditionalFormatting sqref="L18:L36 N19:T37 T37:T40">
    <cfRule type="containsText" dxfId="1299" priority="1821" operator="containsText" text="D">
      <formula>NOT(ISERROR(SEARCH("D",L18)))</formula>
    </cfRule>
    <cfRule type="containsText" dxfId="1298" priority="1822" operator="containsText" text="A">
      <formula>NOT(ISERROR(SEARCH("A",L18)))</formula>
    </cfRule>
  </conditionalFormatting>
  <conditionalFormatting sqref="U27:AD28 U28:X32 U33:AD37 U38:X38 U39:W41 W32:X33 W38:W43 W43:AA44 X28:AD33 X37:AD43 Y27:AI43">
    <cfRule type="containsText" dxfId="1297" priority="1819" operator="containsText" text="D">
      <formula>NOT(ISERROR(SEARCH("D",U27)))</formula>
    </cfRule>
    <cfRule type="containsText" dxfId="1296" priority="1820" operator="containsText" text="A">
      <formula>NOT(ISERROR(SEARCH("A",U27)))</formula>
    </cfRule>
  </conditionalFormatting>
  <conditionalFormatting sqref="Q37:Q38">
    <cfRule type="containsText" dxfId="1295" priority="1513" operator="containsText" text="D">
      <formula>NOT(ISERROR(SEARCH("D",Q37)))</formula>
    </cfRule>
    <cfRule type="containsText" dxfId="1294" priority="1514" operator="containsText" text="A">
      <formula>NOT(ISERROR(SEARCH("A",Q37)))</formula>
    </cfRule>
    <cfRule type="containsText" dxfId="1293" priority="1817" operator="containsText" text="D">
      <formula>NOT(ISERROR(SEARCH("D",Q37)))</formula>
    </cfRule>
    <cfRule type="containsText" dxfId="1292" priority="1818" operator="containsText" text="A">
      <formula>NOT(ISERROR(SEARCH("A",Q37)))</formula>
    </cfRule>
  </conditionalFormatting>
  <conditionalFormatting sqref="T14:V65">
    <cfRule type="containsText" dxfId="1291" priority="1809" operator="containsText" text="D">
      <formula>NOT(ISERROR(SEARCH("D",T14)))</formula>
    </cfRule>
    <cfRule type="containsText" dxfId="1290" priority="1810" operator="containsText" text="A">
      <formula>NOT(ISERROR(SEARCH("A",T14)))</formula>
    </cfRule>
  </conditionalFormatting>
  <conditionalFormatting sqref="AF45:AL65 AJ45:AM62">
    <cfRule type="containsText" dxfId="1289" priority="1807" operator="containsText" text="D">
      <formula>NOT(ISERROR(SEARCH("D",AF45)))</formula>
    </cfRule>
    <cfRule type="containsText" dxfId="1288" priority="1808" operator="containsText" text="A">
      <formula>NOT(ISERROR(SEARCH("A",AF45)))</formula>
    </cfRule>
  </conditionalFormatting>
  <conditionalFormatting sqref="U43:AH65 AF45:AI65">
    <cfRule type="containsText" dxfId="1287" priority="1805" operator="containsText" text="D">
      <formula>NOT(ISERROR(SEARCH("D",U43)))</formula>
    </cfRule>
    <cfRule type="containsText" dxfId="1286" priority="1806" operator="containsText" text="A">
      <formula>NOT(ISERROR(SEARCH("A",U43)))</formula>
    </cfRule>
  </conditionalFormatting>
  <conditionalFormatting sqref="W43:AH63 W44:AA64 AF45:AI63">
    <cfRule type="containsText" dxfId="1285" priority="1803" operator="containsText" text="D">
      <formula>NOT(ISERROR(SEARCH("D",W43)))</formula>
    </cfRule>
    <cfRule type="containsText" dxfId="1284" priority="1804" operator="containsText" text="A">
      <formula>NOT(ISERROR(SEARCH("A",W43)))</formula>
    </cfRule>
  </conditionalFormatting>
  <conditionalFormatting sqref="Q48:Q65">
    <cfRule type="containsText" dxfId="1283" priority="1801" operator="containsText" text="D">
      <formula>NOT(ISERROR(SEARCH("D",Q48)))</formula>
    </cfRule>
    <cfRule type="containsText" dxfId="1282" priority="1802" operator="containsText" text="A">
      <formula>NOT(ISERROR(SEARCH("A",Q48)))</formula>
    </cfRule>
  </conditionalFormatting>
  <conditionalFormatting sqref="S50:S65">
    <cfRule type="containsText" dxfId="1281" priority="1799" operator="containsText" text="D">
      <formula>NOT(ISERROR(SEARCH("D",S50)))</formula>
    </cfRule>
    <cfRule type="containsText" dxfId="1280" priority="1800" operator="containsText" text="A">
      <formula>NOT(ISERROR(SEARCH("A",S50)))</formula>
    </cfRule>
  </conditionalFormatting>
  <conditionalFormatting sqref="W55:W65">
    <cfRule type="containsText" dxfId="1279" priority="1299" operator="containsText" text="D">
      <formula>NOT(ISERROR(SEARCH("D",W55)))</formula>
    </cfRule>
    <cfRule type="containsText" dxfId="1278" priority="1300" operator="containsText" text="A">
      <formula>NOT(ISERROR(SEARCH("A",W55)))</formula>
    </cfRule>
    <cfRule type="containsText" dxfId="1277" priority="1797" operator="containsText" text="D">
      <formula>NOT(ISERROR(SEARCH("D",W55)))</formula>
    </cfRule>
    <cfRule type="containsText" dxfId="1276" priority="1798" operator="containsText" text="A">
      <formula>NOT(ISERROR(SEARCH("A",W55)))</formula>
    </cfRule>
  </conditionalFormatting>
  <conditionalFormatting sqref="Y57:Y65">
    <cfRule type="containsText" dxfId="1275" priority="573" operator="containsText" text="D">
      <formula>NOT(ISERROR(SEARCH("D",Y57)))</formula>
    </cfRule>
    <cfRule type="containsText" dxfId="1274" priority="574" operator="containsText" text="A">
      <formula>NOT(ISERROR(SEARCH("A",Y57)))</formula>
    </cfRule>
    <cfRule type="containsText" dxfId="1273" priority="703" operator="containsText" text="D">
      <formula>NOT(ISERROR(SEARCH("D",Y57)))</formula>
    </cfRule>
    <cfRule type="containsText" dxfId="1272" priority="704" operator="containsText" text="A">
      <formula>NOT(ISERROR(SEARCH("A",Y57)))</formula>
    </cfRule>
    <cfRule type="containsText" dxfId="1271" priority="1297" operator="containsText" text="D">
      <formula>NOT(ISERROR(SEARCH("D",Y57)))</formula>
    </cfRule>
    <cfRule type="containsText" dxfId="1270" priority="1298" operator="containsText" text="A">
      <formula>NOT(ISERROR(SEARCH("A",Y57)))</formula>
    </cfRule>
    <cfRule type="containsText" dxfId="1269" priority="1795" operator="containsText" text="D">
      <formula>NOT(ISERROR(SEARCH("D",Y57)))</formula>
    </cfRule>
    <cfRule type="containsText" dxfId="1268" priority="1796" operator="containsText" text="A">
      <formula>NOT(ISERROR(SEARCH("A",Y57)))</formula>
    </cfRule>
  </conditionalFormatting>
  <conditionalFormatting sqref="AA58:AA65">
    <cfRule type="containsText" dxfId="1267" priority="443" operator="containsText" text="D">
      <formula>NOT(ISERROR(SEARCH("D",AA58)))</formula>
    </cfRule>
    <cfRule type="containsText" dxfId="1266" priority="444" operator="containsText" text="A">
      <formula>NOT(ISERROR(SEARCH("A",AA58)))</formula>
    </cfRule>
    <cfRule type="containsText" dxfId="1265" priority="701" operator="containsText" text="D">
      <formula>NOT(ISERROR(SEARCH("D",AA58)))</formula>
    </cfRule>
    <cfRule type="containsText" dxfId="1264" priority="702" operator="containsText" text="A">
      <formula>NOT(ISERROR(SEARCH("A",AA58)))</formula>
    </cfRule>
    <cfRule type="containsText" dxfId="1263" priority="1295" operator="containsText" text="D">
      <formula>NOT(ISERROR(SEARCH("D",AA58)))</formula>
    </cfRule>
    <cfRule type="containsText" dxfId="1262" priority="1296" operator="containsText" text="A">
      <formula>NOT(ISERROR(SEARCH("A",AA58)))</formula>
    </cfRule>
    <cfRule type="containsText" dxfId="1261" priority="1793" operator="containsText" text="D">
      <formula>NOT(ISERROR(SEARCH("D",AA58)))</formula>
    </cfRule>
    <cfRule type="containsText" dxfId="1260" priority="1794" operator="containsText" text="A">
      <formula>NOT(ISERROR(SEARCH("A",AA58)))</formula>
    </cfRule>
  </conditionalFormatting>
  <conditionalFormatting sqref="AC59:AC65">
    <cfRule type="containsText" dxfId="1259" priority="441" operator="containsText" text="D">
      <formula>NOT(ISERROR(SEARCH("D",AC59)))</formula>
    </cfRule>
    <cfRule type="containsText" dxfId="1258" priority="442" operator="containsText" text="A">
      <formula>NOT(ISERROR(SEARCH("A",AC59)))</formula>
    </cfRule>
    <cfRule type="containsText" dxfId="1257" priority="699" operator="containsText" text="D">
      <formula>NOT(ISERROR(SEARCH("D",AC59)))</formula>
    </cfRule>
    <cfRule type="containsText" dxfId="1256" priority="700" operator="containsText" text="A">
      <formula>NOT(ISERROR(SEARCH("A",AC59)))</formula>
    </cfRule>
    <cfRule type="containsText" dxfId="1255" priority="1293" operator="containsText" text="D">
      <formula>NOT(ISERROR(SEARCH("D",AC59)))</formula>
    </cfRule>
    <cfRule type="containsText" dxfId="1254" priority="1294" operator="containsText" text="A">
      <formula>NOT(ISERROR(SEARCH("A",AC59)))</formula>
    </cfRule>
    <cfRule type="containsText" dxfId="1253" priority="1791" operator="containsText" text="D">
      <formula>NOT(ISERROR(SEARCH("D",AC59)))</formula>
    </cfRule>
    <cfRule type="containsText" dxfId="1252" priority="1792" operator="containsText" text="A">
      <formula>NOT(ISERROR(SEARCH("A",AC59)))</formula>
    </cfRule>
  </conditionalFormatting>
  <conditionalFormatting sqref="AE63:AE65">
    <cfRule type="containsText" dxfId="1251" priority="439" operator="containsText" text="D">
      <formula>NOT(ISERROR(SEARCH("D",AE63)))</formula>
    </cfRule>
    <cfRule type="containsText" dxfId="1250" priority="440" operator="containsText" text="A">
      <formula>NOT(ISERROR(SEARCH("A",AE63)))</formula>
    </cfRule>
    <cfRule type="containsText" dxfId="1249" priority="697" operator="containsText" text="D">
      <formula>NOT(ISERROR(SEARCH("D",AE63)))</formula>
    </cfRule>
    <cfRule type="containsText" dxfId="1248" priority="698" operator="containsText" text="A">
      <formula>NOT(ISERROR(SEARCH("A",AE63)))</formula>
    </cfRule>
    <cfRule type="containsText" dxfId="1247" priority="1291" operator="containsText" text="D">
      <formula>NOT(ISERROR(SEARCH("D",AE63)))</formula>
    </cfRule>
    <cfRule type="containsText" dxfId="1246" priority="1292" operator="containsText" text="A">
      <formula>NOT(ISERROR(SEARCH("A",AE63)))</formula>
    </cfRule>
    <cfRule type="containsText" dxfId="1245" priority="1789" operator="containsText" text="D">
      <formula>NOT(ISERROR(SEARCH("D",AE63)))</formula>
    </cfRule>
    <cfRule type="containsText" dxfId="1244" priority="1790" operator="containsText" text="A">
      <formula>NOT(ISERROR(SEARCH("A",AE63)))</formula>
    </cfRule>
  </conditionalFormatting>
  <conditionalFormatting sqref="AF35:AI60 AG35:AM59 AG60:AL60">
    <cfRule type="containsText" dxfId="1243" priority="1787" operator="containsText" text="D">
      <formula>NOT(ISERROR(SEARCH("D",AF35)))</formula>
    </cfRule>
    <cfRule type="containsText" dxfId="1242" priority="1788" operator="containsText" text="A">
      <formula>NOT(ISERROR(SEARCH("A",AF35)))</formula>
    </cfRule>
  </conditionalFormatting>
  <conditionalFormatting sqref="U33:AH60 AF35:AI60">
    <cfRule type="containsText" dxfId="1241" priority="1785" operator="containsText" text="D">
      <formula>NOT(ISERROR(SEARCH("D",U33)))</formula>
    </cfRule>
    <cfRule type="containsText" dxfId="1240" priority="1786" operator="containsText" text="A">
      <formula>NOT(ISERROR(SEARCH("A",U33)))</formula>
    </cfRule>
  </conditionalFormatting>
  <conditionalFormatting sqref="U41:AH58 AF43:AI58">
    <cfRule type="containsText" dxfId="1239" priority="1783" operator="containsText" text="D">
      <formula>NOT(ISERROR(SEARCH("D",U41)))</formula>
    </cfRule>
    <cfRule type="containsText" dxfId="1238" priority="1784" operator="containsText" text="A">
      <formula>NOT(ISERROR(SEARCH("A",U41)))</formula>
    </cfRule>
  </conditionalFormatting>
  <conditionalFormatting sqref="M19:M34">
    <cfRule type="containsText" dxfId="1237" priority="1781" operator="containsText" text="D">
      <formula>NOT(ISERROR(SEARCH("D",M19)))</formula>
    </cfRule>
    <cfRule type="containsText" dxfId="1236" priority="1782" operator="containsText" text="A">
      <formula>NOT(ISERROR(SEARCH("A",M19)))</formula>
    </cfRule>
  </conditionalFormatting>
  <conditionalFormatting sqref="M27:M28">
    <cfRule type="containsText" dxfId="1235" priority="1511" operator="containsText" text="D">
      <formula>NOT(ISERROR(SEARCH("D",M27)))</formula>
    </cfRule>
    <cfRule type="containsText" dxfId="1234" priority="1512" operator="containsText" text="A">
      <formula>NOT(ISERROR(SEARCH("A",M27)))</formula>
    </cfRule>
    <cfRule type="containsText" dxfId="1233" priority="1779" operator="containsText" text="D">
      <formula>NOT(ISERROR(SEARCH("D",M27)))</formula>
    </cfRule>
    <cfRule type="containsText" dxfId="1232" priority="1780" operator="containsText" text="A">
      <formula>NOT(ISERROR(SEARCH("A",M27)))</formula>
    </cfRule>
  </conditionalFormatting>
  <conditionalFormatting sqref="M25:M26">
    <cfRule type="containsText" dxfId="1231" priority="1509" operator="containsText" text="D">
      <formula>NOT(ISERROR(SEARCH("D",M25)))</formula>
    </cfRule>
    <cfRule type="containsText" dxfId="1230" priority="1510" operator="containsText" text="A">
      <formula>NOT(ISERROR(SEARCH("A",M25)))</formula>
    </cfRule>
    <cfRule type="containsText" dxfId="1229" priority="1777" operator="containsText" text="D">
      <formula>NOT(ISERROR(SEARCH("D",M25)))</formula>
    </cfRule>
    <cfRule type="containsText" dxfId="1228" priority="1778" operator="containsText" text="A">
      <formula>NOT(ISERROR(SEARCH("A",M25)))</formula>
    </cfRule>
  </conditionalFormatting>
  <conditionalFormatting sqref="M26:M27">
    <cfRule type="containsText" dxfId="1227" priority="1507" operator="containsText" text="D">
      <formula>NOT(ISERROR(SEARCH("D",M26)))</formula>
    </cfRule>
    <cfRule type="containsText" dxfId="1226" priority="1508" operator="containsText" text="A">
      <formula>NOT(ISERROR(SEARCH("A",M26)))</formula>
    </cfRule>
    <cfRule type="containsText" dxfId="1225" priority="1775" operator="containsText" text="D">
      <formula>NOT(ISERROR(SEARCH("D",M26)))</formula>
    </cfRule>
    <cfRule type="containsText" dxfId="1224" priority="1776" operator="containsText" text="A">
      <formula>NOT(ISERROR(SEARCH("A",M26)))</formula>
    </cfRule>
  </conditionalFormatting>
  <conditionalFormatting sqref="Q50:Q65">
    <cfRule type="containsText" dxfId="1223" priority="1773" operator="containsText" text="D">
      <formula>NOT(ISERROR(SEARCH("D",Q50)))</formula>
    </cfRule>
    <cfRule type="containsText" dxfId="1222" priority="1774" operator="containsText" text="A">
      <formula>NOT(ISERROR(SEARCH("A",Q50)))</formula>
    </cfRule>
  </conditionalFormatting>
  <conditionalFormatting sqref="S52:S65">
    <cfRule type="containsText" dxfId="1221" priority="1771" operator="containsText" text="D">
      <formula>NOT(ISERROR(SEARCH("D",S52)))</formula>
    </cfRule>
    <cfRule type="containsText" dxfId="1220" priority="1772" operator="containsText" text="A">
      <formula>NOT(ISERROR(SEARCH("A",S52)))</formula>
    </cfRule>
  </conditionalFormatting>
  <conditionalFormatting sqref="W57:W65">
    <cfRule type="containsText" dxfId="1219" priority="1289" operator="containsText" text="D">
      <formula>NOT(ISERROR(SEARCH("D",W57)))</formula>
    </cfRule>
    <cfRule type="containsText" dxfId="1218" priority="1290" operator="containsText" text="A">
      <formula>NOT(ISERROR(SEARCH("A",W57)))</formula>
    </cfRule>
    <cfRule type="containsText" dxfId="1217" priority="1769" operator="containsText" text="D">
      <formula>NOT(ISERROR(SEARCH("D",W57)))</formula>
    </cfRule>
    <cfRule type="containsText" dxfId="1216" priority="1770" operator="containsText" text="A">
      <formula>NOT(ISERROR(SEARCH("A",W57)))</formula>
    </cfRule>
  </conditionalFormatting>
  <conditionalFormatting sqref="Y59:Y65">
    <cfRule type="containsText" dxfId="1215" priority="695" operator="containsText" text="D">
      <formula>NOT(ISERROR(SEARCH("D",Y59)))</formula>
    </cfRule>
    <cfRule type="containsText" dxfId="1214" priority="696" operator="containsText" text="A">
      <formula>NOT(ISERROR(SEARCH("A",Y59)))</formula>
    </cfRule>
    <cfRule type="containsText" dxfId="1213" priority="1287" operator="containsText" text="D">
      <formula>NOT(ISERROR(SEARCH("D",Y59)))</formula>
    </cfRule>
    <cfRule type="containsText" dxfId="1212" priority="1288" operator="containsText" text="A">
      <formula>NOT(ISERROR(SEARCH("A",Y59)))</formula>
    </cfRule>
    <cfRule type="containsText" dxfId="1211" priority="1767" operator="containsText" text="D">
      <formula>NOT(ISERROR(SEARCH("D",Y59)))</formula>
    </cfRule>
    <cfRule type="containsText" dxfId="1210" priority="1768" operator="containsText" text="A">
      <formula>NOT(ISERROR(SEARCH("A",Y59)))</formula>
    </cfRule>
  </conditionalFormatting>
  <conditionalFormatting sqref="AA63:AA65">
    <cfRule type="containsText" dxfId="1209" priority="437" operator="containsText" text="D">
      <formula>NOT(ISERROR(SEARCH("D",AA63)))</formula>
    </cfRule>
    <cfRule type="containsText" dxfId="1208" priority="438" operator="containsText" text="A">
      <formula>NOT(ISERROR(SEARCH("A",AA63)))</formula>
    </cfRule>
    <cfRule type="containsText" dxfId="1207" priority="693" operator="containsText" text="D">
      <formula>NOT(ISERROR(SEARCH("D",AA63)))</formula>
    </cfRule>
    <cfRule type="containsText" dxfId="1206" priority="694" operator="containsText" text="A">
      <formula>NOT(ISERROR(SEARCH("A",AA63)))</formula>
    </cfRule>
    <cfRule type="containsText" dxfId="1205" priority="1285" operator="containsText" text="D">
      <formula>NOT(ISERROR(SEARCH("D",AA63)))</formula>
    </cfRule>
    <cfRule type="containsText" dxfId="1204" priority="1286" operator="containsText" text="A">
      <formula>NOT(ISERROR(SEARCH("A",AA63)))</formula>
    </cfRule>
    <cfRule type="containsText" dxfId="1203" priority="1765" operator="containsText" text="D">
      <formula>NOT(ISERROR(SEARCH("D",AA63)))</formula>
    </cfRule>
    <cfRule type="containsText" dxfId="1202" priority="1766" operator="containsText" text="A">
      <formula>NOT(ISERROR(SEARCH("A",AA63)))</formula>
    </cfRule>
  </conditionalFormatting>
  <conditionalFormatting sqref="AC64:AF64">
    <cfRule type="containsText" dxfId="1201" priority="1763" operator="containsText" text="D">
      <formula>NOT(ISERROR(SEARCH("D",AC64)))</formula>
    </cfRule>
    <cfRule type="containsText" dxfId="1200" priority="1764" operator="containsText" text="A">
      <formula>NOT(ISERROR(SEARCH("A",AC64)))</formula>
    </cfRule>
  </conditionalFormatting>
  <conditionalFormatting sqref="U43:AH60 AF45:AI60">
    <cfRule type="containsText" dxfId="1199" priority="1761" operator="containsText" text="D">
      <formula>NOT(ISERROR(SEARCH("D",U43)))</formula>
    </cfRule>
    <cfRule type="containsText" dxfId="1198" priority="1762" operator="containsText" text="A">
      <formula>NOT(ISERROR(SEARCH("A",U43)))</formula>
    </cfRule>
  </conditionalFormatting>
  <conditionalFormatting sqref="V62:Z62">
    <cfRule type="containsText" dxfId="1197" priority="1757" operator="containsText" text="D">
      <formula>NOT(ISERROR(SEARCH("D",V62)))</formula>
    </cfRule>
    <cfRule type="containsText" dxfId="1196" priority="1758" operator="containsText" text="A">
      <formula>NOT(ISERROR(SEARCH("A",V62)))</formula>
    </cfRule>
    <cfRule type="containsText" dxfId="1195" priority="1759" operator="containsText" text="D">
      <formula>NOT(ISERROR(SEARCH("D",V62)))</formula>
    </cfRule>
    <cfRule type="containsText" dxfId="1194" priority="1760" operator="containsText" text="A">
      <formula>NOT(ISERROR(SEARCH("A",V62)))</formula>
    </cfRule>
  </conditionalFormatting>
  <conditionalFormatting sqref="X64:AB64">
    <cfRule type="containsText" dxfId="1193" priority="1753" operator="containsText" text="D">
      <formula>NOT(ISERROR(SEARCH("D",X64)))</formula>
    </cfRule>
    <cfRule type="containsText" dxfId="1192" priority="1754" operator="containsText" text="A">
      <formula>NOT(ISERROR(SEARCH("A",X64)))</formula>
    </cfRule>
    <cfRule type="containsText" dxfId="1191" priority="1755" operator="containsText" text="D">
      <formula>NOT(ISERROR(SEARCH("D",X64)))</formula>
    </cfRule>
    <cfRule type="containsText" dxfId="1190" priority="1756" operator="containsText" text="A">
      <formula>NOT(ISERROR(SEARCH("A",X64)))</formula>
    </cfRule>
  </conditionalFormatting>
  <conditionalFormatting sqref="Y54:AC54">
    <cfRule type="containsText" dxfId="1189" priority="1499" operator="containsText" text="D">
      <formula>NOT(ISERROR(SEARCH("D",Y54)))</formula>
    </cfRule>
    <cfRule type="containsText" dxfId="1188" priority="1500" operator="containsText" text="A">
      <formula>NOT(ISERROR(SEARCH("A",Y54)))</formula>
    </cfRule>
    <cfRule type="containsText" dxfId="1187" priority="1501" operator="containsText" text="D">
      <formula>NOT(ISERROR(SEARCH("D",Y54)))</formula>
    </cfRule>
    <cfRule type="containsText" dxfId="1186" priority="1502" operator="containsText" text="A">
      <formula>NOT(ISERROR(SEARCH("A",Y54)))</formula>
    </cfRule>
    <cfRule type="containsText" dxfId="1185" priority="1503" operator="containsText" text="D">
      <formula>NOT(ISERROR(SEARCH("D",Y54)))</formula>
    </cfRule>
    <cfRule type="containsText" dxfId="1184" priority="1504" operator="containsText" text="A">
      <formula>NOT(ISERROR(SEARCH("A",Y54)))</formula>
    </cfRule>
    <cfRule type="containsText" dxfId="1183" priority="1505" operator="containsText" text="D">
      <formula>NOT(ISERROR(SEARCH("D",Y54)))</formula>
    </cfRule>
    <cfRule type="containsText" dxfId="1182" priority="1506" operator="containsText" text="A">
      <formula>NOT(ISERROR(SEARCH("A",Y54)))</formula>
    </cfRule>
    <cfRule type="containsText" dxfId="1181" priority="1745" operator="containsText" text="D">
      <formula>NOT(ISERROR(SEARCH("D",Y54)))</formula>
    </cfRule>
    <cfRule type="containsText" dxfId="1180" priority="1746" operator="containsText" text="A">
      <formula>NOT(ISERROR(SEARCH("A",Y54)))</formula>
    </cfRule>
    <cfRule type="containsText" dxfId="1179" priority="1747" operator="containsText" text="D">
      <formula>NOT(ISERROR(SEARCH("D",Y54)))</formula>
    </cfRule>
    <cfRule type="containsText" dxfId="1178" priority="1748" operator="containsText" text="A">
      <formula>NOT(ISERROR(SEARCH("A",Y54)))</formula>
    </cfRule>
    <cfRule type="containsText" dxfId="1177" priority="1749" operator="containsText" text="D">
      <formula>NOT(ISERROR(SEARCH("D",Y54)))</formula>
    </cfRule>
    <cfRule type="containsText" dxfId="1176" priority="1750" operator="containsText" text="A">
      <formula>NOT(ISERROR(SEARCH("A",Y54)))</formula>
    </cfRule>
    <cfRule type="containsText" dxfId="1175" priority="1751" operator="containsText" text="D">
      <formula>NOT(ISERROR(SEARCH("D",Y54)))</formula>
    </cfRule>
    <cfRule type="containsText" dxfId="1174" priority="1752" operator="containsText" text="A">
      <formula>NOT(ISERROR(SEARCH("A",Y54)))</formula>
    </cfRule>
  </conditionalFormatting>
  <conditionalFormatting sqref="Z56:AD56">
    <cfRule type="containsText" dxfId="1173" priority="1491" operator="containsText" text="D">
      <formula>NOT(ISERROR(SEARCH("D",Z56)))</formula>
    </cfRule>
    <cfRule type="containsText" dxfId="1172" priority="1492" operator="containsText" text="A">
      <formula>NOT(ISERROR(SEARCH("A",Z56)))</formula>
    </cfRule>
    <cfRule type="containsText" dxfId="1171" priority="1493" operator="containsText" text="D">
      <formula>NOT(ISERROR(SEARCH("D",Z56)))</formula>
    </cfRule>
    <cfRule type="containsText" dxfId="1170" priority="1494" operator="containsText" text="A">
      <formula>NOT(ISERROR(SEARCH("A",Z56)))</formula>
    </cfRule>
    <cfRule type="containsText" dxfId="1169" priority="1495" operator="containsText" text="D">
      <formula>NOT(ISERROR(SEARCH("D",Z56)))</formula>
    </cfRule>
    <cfRule type="containsText" dxfId="1168" priority="1496" operator="containsText" text="A">
      <formula>NOT(ISERROR(SEARCH("A",Z56)))</formula>
    </cfRule>
    <cfRule type="containsText" dxfId="1167" priority="1497" operator="containsText" text="D">
      <formula>NOT(ISERROR(SEARCH("D",Z56)))</formula>
    </cfRule>
    <cfRule type="containsText" dxfId="1166" priority="1498" operator="containsText" text="A">
      <formula>NOT(ISERROR(SEARCH("A",Z56)))</formula>
    </cfRule>
    <cfRule type="containsText" dxfId="1165" priority="1737" operator="containsText" text="D">
      <formula>NOT(ISERROR(SEARCH("D",Z56)))</formula>
    </cfRule>
    <cfRule type="containsText" dxfId="1164" priority="1738" operator="containsText" text="A">
      <formula>NOT(ISERROR(SEARCH("A",Z56)))</formula>
    </cfRule>
    <cfRule type="containsText" dxfId="1163" priority="1739" operator="containsText" text="D">
      <formula>NOT(ISERROR(SEARCH("D",Z56)))</formula>
    </cfRule>
    <cfRule type="containsText" dxfId="1162" priority="1740" operator="containsText" text="A">
      <formula>NOT(ISERROR(SEARCH("A",Z56)))</formula>
    </cfRule>
    <cfRule type="containsText" dxfId="1161" priority="1741" operator="containsText" text="D">
      <formula>NOT(ISERROR(SEARCH("D",Z56)))</formula>
    </cfRule>
    <cfRule type="containsText" dxfId="1160" priority="1742" operator="containsText" text="A">
      <formula>NOT(ISERROR(SEARCH("A",Z56)))</formula>
    </cfRule>
    <cfRule type="containsText" dxfId="1159" priority="1743" operator="containsText" text="D">
      <formula>NOT(ISERROR(SEARCH("D",Z56)))</formula>
    </cfRule>
    <cfRule type="containsText" dxfId="1158" priority="1744" operator="containsText" text="A">
      <formula>NOT(ISERROR(SEARCH("A",Z56)))</formula>
    </cfRule>
  </conditionalFormatting>
  <conditionalFormatting sqref="AA59:AE59">
    <cfRule type="containsText" dxfId="1157" priority="1483" operator="containsText" text="D">
      <formula>NOT(ISERROR(SEARCH("D",AA59)))</formula>
    </cfRule>
    <cfRule type="containsText" dxfId="1156" priority="1484" operator="containsText" text="A">
      <formula>NOT(ISERROR(SEARCH("A",AA59)))</formula>
    </cfRule>
    <cfRule type="containsText" dxfId="1155" priority="1485" operator="containsText" text="D">
      <formula>NOT(ISERROR(SEARCH("D",AA59)))</formula>
    </cfRule>
    <cfRule type="containsText" dxfId="1154" priority="1486" operator="containsText" text="A">
      <formula>NOT(ISERROR(SEARCH("A",AA59)))</formula>
    </cfRule>
    <cfRule type="containsText" dxfId="1153" priority="1487" operator="containsText" text="D">
      <formula>NOT(ISERROR(SEARCH("D",AA59)))</formula>
    </cfRule>
    <cfRule type="containsText" dxfId="1152" priority="1488" operator="containsText" text="A">
      <formula>NOT(ISERROR(SEARCH("A",AA59)))</formula>
    </cfRule>
    <cfRule type="containsText" dxfId="1151" priority="1489" operator="containsText" text="D">
      <formula>NOT(ISERROR(SEARCH("D",AA59)))</formula>
    </cfRule>
    <cfRule type="containsText" dxfId="1150" priority="1490" operator="containsText" text="A">
      <formula>NOT(ISERROR(SEARCH("A",AA59)))</formula>
    </cfRule>
    <cfRule type="containsText" dxfId="1149" priority="1729" operator="containsText" text="D">
      <formula>NOT(ISERROR(SEARCH("D",AA59)))</formula>
    </cfRule>
    <cfRule type="containsText" dxfId="1148" priority="1730" operator="containsText" text="A">
      <formula>NOT(ISERROR(SEARCH("A",AA59)))</formula>
    </cfRule>
    <cfRule type="containsText" dxfId="1147" priority="1731" operator="containsText" text="D">
      <formula>NOT(ISERROR(SEARCH("D",AA59)))</formula>
    </cfRule>
    <cfRule type="containsText" dxfId="1146" priority="1732" operator="containsText" text="A">
      <formula>NOT(ISERROR(SEARCH("A",AA59)))</formula>
    </cfRule>
    <cfRule type="containsText" dxfId="1145" priority="1733" operator="containsText" text="D">
      <formula>NOT(ISERROR(SEARCH("D",AA59)))</formula>
    </cfRule>
    <cfRule type="containsText" dxfId="1144" priority="1734" operator="containsText" text="A">
      <formula>NOT(ISERROR(SEARCH("A",AA59)))</formula>
    </cfRule>
    <cfRule type="containsText" dxfId="1143" priority="1735" operator="containsText" text="D">
      <formula>NOT(ISERROR(SEARCH("D",AA59)))</formula>
    </cfRule>
    <cfRule type="containsText" dxfId="1142" priority="1736" operator="containsText" text="A">
      <formula>NOT(ISERROR(SEARCH("A",AA59)))</formula>
    </cfRule>
  </conditionalFormatting>
  <conditionalFormatting sqref="AB61:AF61">
    <cfRule type="containsText" dxfId="1141" priority="1475" operator="containsText" text="D">
      <formula>NOT(ISERROR(SEARCH("D",AB61)))</formula>
    </cfRule>
    <cfRule type="containsText" dxfId="1140" priority="1476" operator="containsText" text="A">
      <formula>NOT(ISERROR(SEARCH("A",AB61)))</formula>
    </cfRule>
    <cfRule type="containsText" dxfId="1139" priority="1477" operator="containsText" text="D">
      <formula>NOT(ISERROR(SEARCH("D",AB61)))</formula>
    </cfRule>
    <cfRule type="containsText" dxfId="1138" priority="1478" operator="containsText" text="A">
      <formula>NOT(ISERROR(SEARCH("A",AB61)))</formula>
    </cfRule>
    <cfRule type="containsText" dxfId="1137" priority="1479" operator="containsText" text="D">
      <formula>NOT(ISERROR(SEARCH("D",AB61)))</formula>
    </cfRule>
    <cfRule type="containsText" dxfId="1136" priority="1480" operator="containsText" text="A">
      <formula>NOT(ISERROR(SEARCH("A",AB61)))</formula>
    </cfRule>
    <cfRule type="containsText" dxfId="1135" priority="1481" operator="containsText" text="D">
      <formula>NOT(ISERROR(SEARCH("D",AB61)))</formula>
    </cfRule>
    <cfRule type="containsText" dxfId="1134" priority="1482" operator="containsText" text="A">
      <formula>NOT(ISERROR(SEARCH("A",AB61)))</formula>
    </cfRule>
    <cfRule type="containsText" dxfId="1133" priority="1721" operator="containsText" text="D">
      <formula>NOT(ISERROR(SEARCH("D",AB61)))</formula>
    </cfRule>
    <cfRule type="containsText" dxfId="1132" priority="1722" operator="containsText" text="A">
      <formula>NOT(ISERROR(SEARCH("A",AB61)))</formula>
    </cfRule>
    <cfRule type="containsText" dxfId="1131" priority="1723" operator="containsText" text="D">
      <formula>NOT(ISERROR(SEARCH("D",AB61)))</formula>
    </cfRule>
    <cfRule type="containsText" dxfId="1130" priority="1724" operator="containsText" text="A">
      <formula>NOT(ISERROR(SEARCH("A",AB61)))</formula>
    </cfRule>
    <cfRule type="containsText" dxfId="1129" priority="1725" operator="containsText" text="D">
      <formula>NOT(ISERROR(SEARCH("D",AB61)))</formula>
    </cfRule>
    <cfRule type="containsText" dxfId="1128" priority="1726" operator="containsText" text="A">
      <formula>NOT(ISERROR(SEARCH("A",AB61)))</formula>
    </cfRule>
    <cfRule type="containsText" dxfId="1127" priority="1727" operator="containsText" text="D">
      <formula>NOT(ISERROR(SEARCH("D",AB61)))</formula>
    </cfRule>
    <cfRule type="containsText" dxfId="1126" priority="1728" operator="containsText" text="A">
      <formula>NOT(ISERROR(SEARCH("A",AB61)))</formula>
    </cfRule>
  </conditionalFormatting>
  <conditionalFormatting sqref="AG8:AG10">
    <cfRule type="containsText" dxfId="1125" priority="411" operator="containsText" text="D">
      <formula>NOT(ISERROR(SEARCH("D",AG8)))</formula>
    </cfRule>
    <cfRule type="containsText" dxfId="1124" priority="412" operator="containsText" text="A">
      <formula>NOT(ISERROR(SEARCH("A",AG8)))</formula>
    </cfRule>
    <cfRule type="containsText" dxfId="1123" priority="435" operator="containsText" text="D">
      <formula>NOT(ISERROR(SEARCH("D",AG8)))</formula>
    </cfRule>
    <cfRule type="containsText" dxfId="1122" priority="436" operator="containsText" text="A">
      <formula>NOT(ISERROR(SEARCH("A",AG8)))</formula>
    </cfRule>
    <cfRule type="containsText" dxfId="1121" priority="667" operator="containsText" text="D">
      <formula>NOT(ISERROR(SEARCH("D",AG8)))</formula>
    </cfRule>
    <cfRule type="containsText" dxfId="1120" priority="668" operator="containsText" text="A">
      <formula>NOT(ISERROR(SEARCH("A",AG8)))</formula>
    </cfRule>
    <cfRule type="containsText" dxfId="1119" priority="691" operator="containsText" text="D">
      <formula>NOT(ISERROR(SEARCH("D",AG8)))</formula>
    </cfRule>
    <cfRule type="containsText" dxfId="1118" priority="692" operator="containsText" text="A">
      <formula>NOT(ISERROR(SEARCH("A",AG8)))</formula>
    </cfRule>
    <cfRule type="containsText" dxfId="1117" priority="1259" operator="containsText" text="D">
      <formula>NOT(ISERROR(SEARCH("D",AG8)))</formula>
    </cfRule>
    <cfRule type="containsText" dxfId="1116" priority="1260" operator="containsText" text="A">
      <formula>NOT(ISERROR(SEARCH("A",AG8)))</formula>
    </cfRule>
    <cfRule type="containsText" dxfId="1115" priority="1283" operator="containsText" text="D">
      <formula>NOT(ISERROR(SEARCH("D",AG8)))</formula>
    </cfRule>
    <cfRule type="containsText" dxfId="1114" priority="1284" operator="containsText" text="A">
      <formula>NOT(ISERROR(SEARCH("A",AG8)))</formula>
    </cfRule>
    <cfRule type="containsText" dxfId="1113" priority="1473" operator="containsText" text="D">
      <formula>NOT(ISERROR(SEARCH("D",AG8)))</formula>
    </cfRule>
    <cfRule type="containsText" dxfId="1112" priority="1474" operator="containsText" text="A">
      <formula>NOT(ISERROR(SEARCH("A",AG8)))</formula>
    </cfRule>
    <cfRule type="containsText" dxfId="1111" priority="1715" operator="containsText" text="D">
      <formula>NOT(ISERROR(SEARCH("D",AG8)))</formula>
    </cfRule>
    <cfRule type="containsText" dxfId="1110" priority="1716" operator="containsText" text="A">
      <formula>NOT(ISERROR(SEARCH("A",AG8)))</formula>
    </cfRule>
  </conditionalFormatting>
  <conditionalFormatting sqref="V55:V65">
    <cfRule type="containsText" dxfId="1109" priority="1709" operator="containsText" text="D">
      <formula>NOT(ISERROR(SEARCH("D",V55)))</formula>
    </cfRule>
    <cfRule type="containsText" dxfId="1108" priority="1710" operator="containsText" text="A">
      <formula>NOT(ISERROR(SEARCH("A",V55)))</formula>
    </cfRule>
  </conditionalFormatting>
  <conditionalFormatting sqref="X57:X65">
    <cfRule type="containsText" dxfId="1107" priority="1309" operator="containsText" text="D">
      <formula>NOT(ISERROR(SEARCH("D",X57)))</formula>
    </cfRule>
    <cfRule type="containsText" dxfId="1106" priority="1310" operator="containsText" text="A">
      <formula>NOT(ISERROR(SEARCH("A",X57)))</formula>
    </cfRule>
    <cfRule type="containsText" dxfId="1105" priority="1707" operator="containsText" text="D">
      <formula>NOT(ISERROR(SEARCH("D",X57)))</formula>
    </cfRule>
    <cfRule type="containsText" dxfId="1104" priority="1708" operator="containsText" text="A">
      <formula>NOT(ISERROR(SEARCH("A",X57)))</formula>
    </cfRule>
  </conditionalFormatting>
  <conditionalFormatting sqref="Z58:Z65">
    <cfRule type="containsText" dxfId="1103" priority="1705" operator="containsText" text="D">
      <formula>NOT(ISERROR(SEARCH("D",Z58)))</formula>
    </cfRule>
    <cfRule type="containsText" dxfId="1102" priority="1706" operator="containsText" text="A">
      <formula>NOT(ISERROR(SEARCH("A",Z58)))</formula>
    </cfRule>
  </conditionalFormatting>
  <conditionalFormatting sqref="AB59:AB65">
    <cfRule type="containsText" dxfId="1101" priority="59" operator="containsText" text="D">
      <formula>NOT(ISERROR(SEARCH("D",AB59)))</formula>
    </cfRule>
    <cfRule type="containsText" dxfId="1100" priority="60" operator="containsText" text="A">
      <formula>NOT(ISERROR(SEARCH("A",AB59)))</formula>
    </cfRule>
    <cfRule type="containsText" dxfId="1099" priority="1703" operator="containsText" text="D">
      <formula>NOT(ISERROR(SEARCH("D",AB59)))</formula>
    </cfRule>
    <cfRule type="containsText" dxfId="1098" priority="1704" operator="containsText" text="A">
      <formula>NOT(ISERROR(SEARCH("A",AB59)))</formula>
    </cfRule>
  </conditionalFormatting>
  <conditionalFormatting sqref="AD63:AD65">
    <cfRule type="containsText" dxfId="1097" priority="57" operator="containsText" text="D">
      <formula>NOT(ISERROR(SEARCH("D",AD63)))</formula>
    </cfRule>
    <cfRule type="containsText" dxfId="1096" priority="58" operator="containsText" text="A">
      <formula>NOT(ISERROR(SEARCH("A",AD63)))</formula>
    </cfRule>
    <cfRule type="containsText" dxfId="1095" priority="1701" operator="containsText" text="D">
      <formula>NOT(ISERROR(SEARCH("D",AD63)))</formula>
    </cfRule>
    <cfRule type="containsText" dxfId="1094" priority="1702" operator="containsText" text="A">
      <formula>NOT(ISERROR(SEARCH("A",AD63)))</formula>
    </cfRule>
  </conditionalFormatting>
  <conditionalFormatting sqref="V57:V65">
    <cfRule type="containsText" dxfId="1093" priority="1699" operator="containsText" text="D">
      <formula>NOT(ISERROR(SEARCH("D",V57)))</formula>
    </cfRule>
    <cfRule type="containsText" dxfId="1092" priority="1700" operator="containsText" text="A">
      <formula>NOT(ISERROR(SEARCH("A",V57)))</formula>
    </cfRule>
  </conditionalFormatting>
  <conditionalFormatting sqref="X59:X65">
    <cfRule type="containsText" dxfId="1091" priority="1697" operator="containsText" text="D">
      <formula>NOT(ISERROR(SEARCH("D",X59)))</formula>
    </cfRule>
    <cfRule type="containsText" dxfId="1090" priority="1698" operator="containsText" text="A">
      <formula>NOT(ISERROR(SEARCH("A",X59)))</formula>
    </cfRule>
  </conditionalFormatting>
  <conditionalFormatting sqref="Z63:Z65">
    <cfRule type="containsText" dxfId="1089" priority="1695" operator="containsText" text="D">
      <formula>NOT(ISERROR(SEARCH("D",Z63)))</formula>
    </cfRule>
    <cfRule type="containsText" dxfId="1088" priority="1696" operator="containsText" text="A">
      <formula>NOT(ISERROR(SEARCH("A",Z63)))</formula>
    </cfRule>
  </conditionalFormatting>
  <conditionalFormatting sqref="AB64:AE64">
    <cfRule type="containsText" dxfId="1087" priority="1693" operator="containsText" text="D">
      <formula>NOT(ISERROR(SEARCH("D",AB64)))</formula>
    </cfRule>
    <cfRule type="containsText" dxfId="1086" priority="1694" operator="containsText" text="A">
      <formula>NOT(ISERROR(SEARCH("A",AB64)))</formula>
    </cfRule>
  </conditionalFormatting>
  <conditionalFormatting sqref="AF8:AF10">
    <cfRule type="containsText" dxfId="1085" priority="1471" operator="containsText" text="D">
      <formula>NOT(ISERROR(SEARCH("D",AF8)))</formula>
    </cfRule>
    <cfRule type="containsText" dxfId="1084" priority="1472" operator="containsText" text="A">
      <formula>NOT(ISERROR(SEARCH("A",AF8)))</formula>
    </cfRule>
    <cfRule type="containsText" dxfId="1083" priority="1691" operator="containsText" text="D">
      <formula>NOT(ISERROR(SEARCH("D",AF8)))</formula>
    </cfRule>
    <cfRule type="containsText" dxfId="1082" priority="1692" operator="containsText" text="A">
      <formula>NOT(ISERROR(SEARCH("A",AF8)))</formula>
    </cfRule>
  </conditionalFormatting>
  <conditionalFormatting sqref="Q40:Q41">
    <cfRule type="containsText" dxfId="1081" priority="1469" operator="containsText" text="D">
      <formula>NOT(ISERROR(SEARCH("D",Q40)))</formula>
    </cfRule>
    <cfRule type="containsText" dxfId="1080" priority="1470" operator="containsText" text="A">
      <formula>NOT(ISERROR(SEARCH("A",Q40)))</formula>
    </cfRule>
    <cfRule type="containsText" dxfId="1079" priority="1689" operator="containsText" text="D">
      <formula>NOT(ISERROR(SEARCH("D",Q40)))</formula>
    </cfRule>
    <cfRule type="containsText" dxfId="1078" priority="1690" operator="containsText" text="A">
      <formula>NOT(ISERROR(SEARCH("A",Q40)))</formula>
    </cfRule>
  </conditionalFormatting>
  <conditionalFormatting sqref="M30:M31">
    <cfRule type="containsText" dxfId="1077" priority="1467" operator="containsText" text="D">
      <formula>NOT(ISERROR(SEARCH("D",M30)))</formula>
    </cfRule>
    <cfRule type="containsText" dxfId="1076" priority="1468" operator="containsText" text="A">
      <formula>NOT(ISERROR(SEARCH("A",M30)))</formula>
    </cfRule>
    <cfRule type="containsText" dxfId="1075" priority="1683" operator="containsText" text="D">
      <formula>NOT(ISERROR(SEARCH("D",M30)))</formula>
    </cfRule>
    <cfRule type="containsText" dxfId="1074" priority="1684" operator="containsText" text="A">
      <formula>NOT(ISERROR(SEARCH("A",M30)))</formula>
    </cfRule>
  </conditionalFormatting>
  <conditionalFormatting sqref="M28:M29">
    <cfRule type="containsText" dxfId="1073" priority="1465" operator="containsText" text="D">
      <formula>NOT(ISERROR(SEARCH("D",M28)))</formula>
    </cfRule>
    <cfRule type="containsText" dxfId="1072" priority="1466" operator="containsText" text="A">
      <formula>NOT(ISERROR(SEARCH("A",M28)))</formula>
    </cfRule>
    <cfRule type="containsText" dxfId="1071" priority="1681" operator="containsText" text="D">
      <formula>NOT(ISERROR(SEARCH("D",M28)))</formula>
    </cfRule>
    <cfRule type="containsText" dxfId="1070" priority="1682" operator="containsText" text="A">
      <formula>NOT(ISERROR(SEARCH("A",M28)))</formula>
    </cfRule>
  </conditionalFormatting>
  <conditionalFormatting sqref="M29:M30">
    <cfRule type="containsText" dxfId="1069" priority="1463" operator="containsText" text="D">
      <formula>NOT(ISERROR(SEARCH("D",M29)))</formula>
    </cfRule>
    <cfRule type="containsText" dxfId="1068" priority="1464" operator="containsText" text="A">
      <formula>NOT(ISERROR(SEARCH("A",M29)))</formula>
    </cfRule>
    <cfRule type="containsText" dxfId="1067" priority="1679" operator="containsText" text="D">
      <formula>NOT(ISERROR(SEARCH("D",M29)))</formula>
    </cfRule>
    <cfRule type="containsText" dxfId="1066" priority="1680" operator="containsText" text="A">
      <formula>NOT(ISERROR(SEARCH("A",M29)))</formula>
    </cfRule>
  </conditionalFormatting>
  <conditionalFormatting sqref="Y57:AC57">
    <cfRule type="containsText" dxfId="1065" priority="1455" operator="containsText" text="D">
      <formula>NOT(ISERROR(SEARCH("D",Y57)))</formula>
    </cfRule>
    <cfRule type="containsText" dxfId="1064" priority="1456" operator="containsText" text="A">
      <formula>NOT(ISERROR(SEARCH("A",Y57)))</formula>
    </cfRule>
    <cfRule type="containsText" dxfId="1063" priority="1457" operator="containsText" text="D">
      <formula>NOT(ISERROR(SEARCH("D",Y57)))</formula>
    </cfRule>
    <cfRule type="containsText" dxfId="1062" priority="1458" operator="containsText" text="A">
      <formula>NOT(ISERROR(SEARCH("A",Y57)))</formula>
    </cfRule>
    <cfRule type="containsText" dxfId="1061" priority="1459" operator="containsText" text="D">
      <formula>NOT(ISERROR(SEARCH("D",Y57)))</formula>
    </cfRule>
    <cfRule type="containsText" dxfId="1060" priority="1460" operator="containsText" text="A">
      <formula>NOT(ISERROR(SEARCH("A",Y57)))</formula>
    </cfRule>
    <cfRule type="containsText" dxfId="1059" priority="1461" operator="containsText" text="D">
      <formula>NOT(ISERROR(SEARCH("D",Y57)))</formula>
    </cfRule>
    <cfRule type="containsText" dxfId="1058" priority="1462" operator="containsText" text="A">
      <formula>NOT(ISERROR(SEARCH("A",Y57)))</formula>
    </cfRule>
    <cfRule type="containsText" dxfId="1057" priority="1671" operator="containsText" text="D">
      <formula>NOT(ISERROR(SEARCH("D",Y57)))</formula>
    </cfRule>
    <cfRule type="containsText" dxfId="1056" priority="1672" operator="containsText" text="A">
      <formula>NOT(ISERROR(SEARCH("A",Y57)))</formula>
    </cfRule>
    <cfRule type="containsText" dxfId="1055" priority="1673" operator="containsText" text="D">
      <formula>NOT(ISERROR(SEARCH("D",Y57)))</formula>
    </cfRule>
    <cfRule type="containsText" dxfId="1054" priority="1674" operator="containsText" text="A">
      <formula>NOT(ISERROR(SEARCH("A",Y57)))</formula>
    </cfRule>
    <cfRule type="containsText" dxfId="1053" priority="1675" operator="containsText" text="D">
      <formula>NOT(ISERROR(SEARCH("D",Y57)))</formula>
    </cfRule>
    <cfRule type="containsText" dxfId="1052" priority="1676" operator="containsText" text="A">
      <formula>NOT(ISERROR(SEARCH("A",Y57)))</formula>
    </cfRule>
    <cfRule type="containsText" dxfId="1051" priority="1677" operator="containsText" text="D">
      <formula>NOT(ISERROR(SEARCH("D",Y57)))</formula>
    </cfRule>
    <cfRule type="containsText" dxfId="1050" priority="1678" operator="containsText" text="A">
      <formula>NOT(ISERROR(SEARCH("A",Y57)))</formula>
    </cfRule>
  </conditionalFormatting>
  <conditionalFormatting sqref="Z59:AD59">
    <cfRule type="containsText" dxfId="1049" priority="1447" operator="containsText" text="D">
      <formula>NOT(ISERROR(SEARCH("D",Z59)))</formula>
    </cfRule>
    <cfRule type="containsText" dxfId="1048" priority="1448" operator="containsText" text="A">
      <formula>NOT(ISERROR(SEARCH("A",Z59)))</formula>
    </cfRule>
    <cfRule type="containsText" dxfId="1047" priority="1449" operator="containsText" text="D">
      <formula>NOT(ISERROR(SEARCH("D",Z59)))</formula>
    </cfRule>
    <cfRule type="containsText" dxfId="1046" priority="1450" operator="containsText" text="A">
      <formula>NOT(ISERROR(SEARCH("A",Z59)))</formula>
    </cfRule>
    <cfRule type="containsText" dxfId="1045" priority="1451" operator="containsText" text="D">
      <formula>NOT(ISERROR(SEARCH("D",Z59)))</formula>
    </cfRule>
    <cfRule type="containsText" dxfId="1044" priority="1452" operator="containsText" text="A">
      <formula>NOT(ISERROR(SEARCH("A",Z59)))</formula>
    </cfRule>
    <cfRule type="containsText" dxfId="1043" priority="1453" operator="containsText" text="D">
      <formula>NOT(ISERROR(SEARCH("D",Z59)))</formula>
    </cfRule>
    <cfRule type="containsText" dxfId="1042" priority="1454" operator="containsText" text="A">
      <formula>NOT(ISERROR(SEARCH("A",Z59)))</formula>
    </cfRule>
    <cfRule type="containsText" dxfId="1041" priority="1663" operator="containsText" text="D">
      <formula>NOT(ISERROR(SEARCH("D",Z59)))</formula>
    </cfRule>
    <cfRule type="containsText" dxfId="1040" priority="1664" operator="containsText" text="A">
      <formula>NOT(ISERROR(SEARCH("A",Z59)))</formula>
    </cfRule>
    <cfRule type="containsText" dxfId="1039" priority="1665" operator="containsText" text="D">
      <formula>NOT(ISERROR(SEARCH("D",Z59)))</formula>
    </cfRule>
    <cfRule type="containsText" dxfId="1038" priority="1666" operator="containsText" text="A">
      <formula>NOT(ISERROR(SEARCH("A",Z59)))</formula>
    </cfRule>
    <cfRule type="containsText" dxfId="1037" priority="1667" operator="containsText" text="D">
      <formula>NOT(ISERROR(SEARCH("D",Z59)))</formula>
    </cfRule>
    <cfRule type="containsText" dxfId="1036" priority="1668" operator="containsText" text="A">
      <formula>NOT(ISERROR(SEARCH("A",Z59)))</formula>
    </cfRule>
    <cfRule type="containsText" dxfId="1035" priority="1669" operator="containsText" text="D">
      <formula>NOT(ISERROR(SEARCH("D",Z59)))</formula>
    </cfRule>
    <cfRule type="containsText" dxfId="1034" priority="1670" operator="containsText" text="A">
      <formula>NOT(ISERROR(SEARCH("A",Z59)))</formula>
    </cfRule>
  </conditionalFormatting>
  <conditionalFormatting sqref="AA62:AE62">
    <cfRule type="containsText" dxfId="1033" priority="1655" operator="containsText" text="D">
      <formula>NOT(ISERROR(SEARCH("D",AA62)))</formula>
    </cfRule>
    <cfRule type="containsText" dxfId="1032" priority="1656" operator="containsText" text="A">
      <formula>NOT(ISERROR(SEARCH("A",AA62)))</formula>
    </cfRule>
    <cfRule type="containsText" dxfId="1031" priority="1657" operator="containsText" text="D">
      <formula>NOT(ISERROR(SEARCH("D",AA62)))</formula>
    </cfRule>
    <cfRule type="containsText" dxfId="1030" priority="1658" operator="containsText" text="A">
      <formula>NOT(ISERROR(SEARCH("A",AA62)))</formula>
    </cfRule>
    <cfRule type="containsText" dxfId="1029" priority="1659" operator="containsText" text="D">
      <formula>NOT(ISERROR(SEARCH("D",AA62)))</formula>
    </cfRule>
    <cfRule type="containsText" dxfId="1028" priority="1660" operator="containsText" text="A">
      <formula>NOT(ISERROR(SEARCH("A",AA62)))</formula>
    </cfRule>
    <cfRule type="containsText" dxfId="1027" priority="1661" operator="containsText" text="D">
      <formula>NOT(ISERROR(SEARCH("D",AA62)))</formula>
    </cfRule>
    <cfRule type="containsText" dxfId="1026" priority="1662" operator="containsText" text="A">
      <formula>NOT(ISERROR(SEARCH("A",AA62)))</formula>
    </cfRule>
  </conditionalFormatting>
  <conditionalFormatting sqref="AB64:AF64">
    <cfRule type="containsText" dxfId="1025" priority="1647" operator="containsText" text="D">
      <formula>NOT(ISERROR(SEARCH("D",AB64)))</formula>
    </cfRule>
    <cfRule type="containsText" dxfId="1024" priority="1648" operator="containsText" text="A">
      <formula>NOT(ISERROR(SEARCH("A",AB64)))</formula>
    </cfRule>
    <cfRule type="containsText" dxfId="1023" priority="1649" operator="containsText" text="D">
      <formula>NOT(ISERROR(SEARCH("D",AB64)))</formula>
    </cfRule>
    <cfRule type="containsText" dxfId="1022" priority="1650" operator="containsText" text="A">
      <formula>NOT(ISERROR(SEARCH("A",AB64)))</formula>
    </cfRule>
    <cfRule type="containsText" dxfId="1021" priority="1651" operator="containsText" text="D">
      <formula>NOT(ISERROR(SEARCH("D",AB64)))</formula>
    </cfRule>
    <cfRule type="containsText" dxfId="1020" priority="1652" operator="containsText" text="A">
      <formula>NOT(ISERROR(SEARCH("A",AB64)))</formula>
    </cfRule>
    <cfRule type="containsText" dxfId="1019" priority="1653" operator="containsText" text="D">
      <formula>NOT(ISERROR(SEARCH("D",AB64)))</formula>
    </cfRule>
    <cfRule type="containsText" dxfId="1018" priority="1654" operator="containsText" text="A">
      <formula>NOT(ISERROR(SEARCH("A",AB64)))</formula>
    </cfRule>
  </conditionalFormatting>
  <conditionalFormatting sqref="AG11:AG13">
    <cfRule type="containsText" dxfId="1017" priority="407" operator="containsText" text="D">
      <formula>NOT(ISERROR(SEARCH("D",AG11)))</formula>
    </cfRule>
    <cfRule type="containsText" dxfId="1016" priority="408" operator="containsText" text="A">
      <formula>NOT(ISERROR(SEARCH("A",AG11)))</formula>
    </cfRule>
    <cfRule type="containsText" dxfId="1015" priority="431" operator="containsText" text="D">
      <formula>NOT(ISERROR(SEARCH("D",AG11)))</formula>
    </cfRule>
    <cfRule type="containsText" dxfId="1014" priority="432" operator="containsText" text="A">
      <formula>NOT(ISERROR(SEARCH("A",AG11)))</formula>
    </cfRule>
    <cfRule type="containsText" dxfId="1013" priority="663" operator="containsText" text="D">
      <formula>NOT(ISERROR(SEARCH("D",AG11)))</formula>
    </cfRule>
    <cfRule type="containsText" dxfId="1012" priority="664" operator="containsText" text="A">
      <formula>NOT(ISERROR(SEARCH("A",AG11)))</formula>
    </cfRule>
    <cfRule type="containsText" dxfId="1011" priority="687" operator="containsText" text="D">
      <formula>NOT(ISERROR(SEARCH("D",AG11)))</formula>
    </cfRule>
    <cfRule type="containsText" dxfId="1010" priority="688" operator="containsText" text="A">
      <formula>NOT(ISERROR(SEARCH("A",AG11)))</formula>
    </cfRule>
    <cfRule type="containsText" dxfId="1009" priority="1255" operator="containsText" text="D">
      <formula>NOT(ISERROR(SEARCH("D",AG11)))</formula>
    </cfRule>
    <cfRule type="containsText" dxfId="1008" priority="1256" operator="containsText" text="A">
      <formula>NOT(ISERROR(SEARCH("A",AG11)))</formula>
    </cfRule>
    <cfRule type="containsText" dxfId="1007" priority="1279" operator="containsText" text="D">
      <formula>NOT(ISERROR(SEARCH("D",AG11)))</formula>
    </cfRule>
    <cfRule type="containsText" dxfId="1006" priority="1280" operator="containsText" text="A">
      <formula>NOT(ISERROR(SEARCH("A",AG11)))</formula>
    </cfRule>
    <cfRule type="containsText" dxfId="1005" priority="1445" operator="containsText" text="D">
      <formula>NOT(ISERROR(SEARCH("D",AG11)))</formula>
    </cfRule>
    <cfRule type="containsText" dxfId="1004" priority="1446" operator="containsText" text="A">
      <formula>NOT(ISERROR(SEARCH("A",AG11)))</formula>
    </cfRule>
    <cfRule type="containsText" dxfId="1003" priority="1641" operator="containsText" text="D">
      <formula>NOT(ISERROR(SEARCH("D",AG11)))</formula>
    </cfRule>
    <cfRule type="containsText" dxfId="1002" priority="1642" operator="containsText" text="A">
      <formula>NOT(ISERROR(SEARCH("A",AG11)))</formula>
    </cfRule>
  </conditionalFormatting>
  <conditionalFormatting sqref="AF8:AM8">
    <cfRule type="containsText" dxfId="1001" priority="965" operator="containsText" text="D">
      <formula>NOT(ISERROR(SEARCH("D",AF8)))</formula>
    </cfRule>
    <cfRule type="containsText" dxfId="1000" priority="966" operator="containsText" text="A">
      <formula>NOT(ISERROR(SEARCH("A",AF8)))</formula>
    </cfRule>
    <cfRule type="containsText" dxfId="999" priority="1443" operator="containsText" text="D">
      <formula>NOT(ISERROR(SEARCH("D",AF8)))</formula>
    </cfRule>
    <cfRule type="containsText" dxfId="998" priority="1444" operator="containsText" text="A">
      <formula>NOT(ISERROR(SEARCH("A",AF8)))</formula>
    </cfRule>
    <cfRule type="containsText" dxfId="997" priority="1639" operator="containsText" text="D">
      <formula>NOT(ISERROR(SEARCH("D",AF8)))</formula>
    </cfRule>
    <cfRule type="containsText" dxfId="996" priority="1640" operator="containsText" text="A">
      <formula>NOT(ISERROR(SEARCH("A",AF8)))</formula>
    </cfRule>
  </conditionalFormatting>
  <conditionalFormatting sqref="AF11:AF13">
    <cfRule type="containsText" dxfId="995" priority="1441" operator="containsText" text="D">
      <formula>NOT(ISERROR(SEARCH("D",AF11)))</formula>
    </cfRule>
    <cfRule type="containsText" dxfId="994" priority="1442" operator="containsText" text="A">
      <formula>NOT(ISERROR(SEARCH("A",AF11)))</formula>
    </cfRule>
    <cfRule type="containsText" dxfId="993" priority="1637" operator="containsText" text="D">
      <formula>NOT(ISERROR(SEARCH("D",AF11)))</formula>
    </cfRule>
    <cfRule type="containsText" dxfId="992" priority="1638" operator="containsText" text="A">
      <formula>NOT(ISERROR(SEARCH("A",AF11)))</formula>
    </cfRule>
  </conditionalFormatting>
  <conditionalFormatting sqref="Q43:Q44">
    <cfRule type="containsText" dxfId="991" priority="1439" operator="containsText" text="D">
      <formula>NOT(ISERROR(SEARCH("D",Q43)))</formula>
    </cfRule>
    <cfRule type="containsText" dxfId="990" priority="1440" operator="containsText" text="A">
      <formula>NOT(ISERROR(SEARCH("A",Q43)))</formula>
    </cfRule>
    <cfRule type="containsText" dxfId="989" priority="1635" operator="containsText" text="D">
      <formula>NOT(ISERROR(SEARCH("D",Q43)))</formula>
    </cfRule>
    <cfRule type="containsText" dxfId="988" priority="1636" operator="containsText" text="A">
      <formula>NOT(ISERROR(SEARCH("A",Q43)))</formula>
    </cfRule>
  </conditionalFormatting>
  <conditionalFormatting sqref="M33:M34">
    <cfRule type="containsText" dxfId="987" priority="1433" operator="containsText" text="D">
      <formula>NOT(ISERROR(SEARCH("D",M33)))</formula>
    </cfRule>
    <cfRule type="containsText" dxfId="986" priority="1434" operator="containsText" text="A">
      <formula>NOT(ISERROR(SEARCH("A",M33)))</formula>
    </cfRule>
    <cfRule type="containsText" dxfId="985" priority="1633" operator="containsText" text="D">
      <formula>NOT(ISERROR(SEARCH("D",M33)))</formula>
    </cfRule>
    <cfRule type="containsText" dxfId="984" priority="1634" operator="containsText" text="A">
      <formula>NOT(ISERROR(SEARCH("A",M33)))</formula>
    </cfRule>
  </conditionalFormatting>
  <conditionalFormatting sqref="M31:M32">
    <cfRule type="containsText" dxfId="983" priority="1431" operator="containsText" text="D">
      <formula>NOT(ISERROR(SEARCH("D",M31)))</formula>
    </cfRule>
    <cfRule type="containsText" dxfId="982" priority="1432" operator="containsText" text="A">
      <formula>NOT(ISERROR(SEARCH("A",M31)))</formula>
    </cfRule>
    <cfRule type="containsText" dxfId="981" priority="1631" operator="containsText" text="D">
      <formula>NOT(ISERROR(SEARCH("D",M31)))</formula>
    </cfRule>
    <cfRule type="containsText" dxfId="980" priority="1632" operator="containsText" text="A">
      <formula>NOT(ISERROR(SEARCH("A",M31)))</formula>
    </cfRule>
  </conditionalFormatting>
  <conditionalFormatting sqref="M32:M33">
    <cfRule type="containsText" dxfId="979" priority="1429" operator="containsText" text="D">
      <formula>NOT(ISERROR(SEARCH("D",M32)))</formula>
    </cfRule>
    <cfRule type="containsText" dxfId="978" priority="1430" operator="containsText" text="A">
      <formula>NOT(ISERROR(SEARCH("A",M32)))</formula>
    </cfRule>
    <cfRule type="containsText" dxfId="977" priority="1629" operator="containsText" text="D">
      <formula>NOT(ISERROR(SEARCH("D",M32)))</formula>
    </cfRule>
    <cfRule type="containsText" dxfId="976" priority="1630" operator="containsText" text="A">
      <formula>NOT(ISERROR(SEARCH("A",M32)))</formula>
    </cfRule>
  </conditionalFormatting>
  <conditionalFormatting sqref="Y60:AC60">
    <cfRule type="containsText" dxfId="975" priority="1421" operator="containsText" text="D">
      <formula>NOT(ISERROR(SEARCH("D",Y60)))</formula>
    </cfRule>
    <cfRule type="containsText" dxfId="974" priority="1422" operator="containsText" text="A">
      <formula>NOT(ISERROR(SEARCH("A",Y60)))</formula>
    </cfRule>
    <cfRule type="containsText" dxfId="973" priority="1423" operator="containsText" text="D">
      <formula>NOT(ISERROR(SEARCH("D",Y60)))</formula>
    </cfRule>
    <cfRule type="containsText" dxfId="972" priority="1424" operator="containsText" text="A">
      <formula>NOT(ISERROR(SEARCH("A",Y60)))</formula>
    </cfRule>
    <cfRule type="containsText" dxfId="971" priority="1425" operator="containsText" text="D">
      <formula>NOT(ISERROR(SEARCH("D",Y60)))</formula>
    </cfRule>
    <cfRule type="containsText" dxfId="970" priority="1426" operator="containsText" text="A">
      <formula>NOT(ISERROR(SEARCH("A",Y60)))</formula>
    </cfRule>
    <cfRule type="containsText" dxfId="969" priority="1427" operator="containsText" text="D">
      <formula>NOT(ISERROR(SEARCH("D",Y60)))</formula>
    </cfRule>
    <cfRule type="containsText" dxfId="968" priority="1428" operator="containsText" text="A">
      <formula>NOT(ISERROR(SEARCH("A",Y60)))</formula>
    </cfRule>
    <cfRule type="containsText" dxfId="967" priority="1621" operator="containsText" text="D">
      <formula>NOT(ISERROR(SEARCH("D",Y60)))</formula>
    </cfRule>
    <cfRule type="containsText" dxfId="966" priority="1622" operator="containsText" text="A">
      <formula>NOT(ISERROR(SEARCH("A",Y60)))</formula>
    </cfRule>
    <cfRule type="containsText" dxfId="965" priority="1623" operator="containsText" text="D">
      <formula>NOT(ISERROR(SEARCH("D",Y60)))</formula>
    </cfRule>
    <cfRule type="containsText" dxfId="964" priority="1624" operator="containsText" text="A">
      <formula>NOT(ISERROR(SEARCH("A",Y60)))</formula>
    </cfRule>
    <cfRule type="containsText" dxfId="963" priority="1625" operator="containsText" text="D">
      <formula>NOT(ISERROR(SEARCH("D",Y60)))</formula>
    </cfRule>
    <cfRule type="containsText" dxfId="962" priority="1626" operator="containsText" text="A">
      <formula>NOT(ISERROR(SEARCH("A",Y60)))</formula>
    </cfRule>
    <cfRule type="containsText" dxfId="961" priority="1627" operator="containsText" text="D">
      <formula>NOT(ISERROR(SEARCH("D",Y60)))</formula>
    </cfRule>
    <cfRule type="containsText" dxfId="960" priority="1628" operator="containsText" text="A">
      <formula>NOT(ISERROR(SEARCH("A",Y60)))</formula>
    </cfRule>
  </conditionalFormatting>
  <conditionalFormatting sqref="Z62:AD62">
    <cfRule type="containsText" dxfId="959" priority="1613" operator="containsText" text="D">
      <formula>NOT(ISERROR(SEARCH("D",Z62)))</formula>
    </cfRule>
    <cfRule type="containsText" dxfId="958" priority="1614" operator="containsText" text="A">
      <formula>NOT(ISERROR(SEARCH("A",Z62)))</formula>
    </cfRule>
    <cfRule type="containsText" dxfId="957" priority="1615" operator="containsText" text="D">
      <formula>NOT(ISERROR(SEARCH("D",Z62)))</formula>
    </cfRule>
    <cfRule type="containsText" dxfId="956" priority="1616" operator="containsText" text="A">
      <formula>NOT(ISERROR(SEARCH("A",Z62)))</formula>
    </cfRule>
    <cfRule type="containsText" dxfId="955" priority="1617" operator="containsText" text="D">
      <formula>NOT(ISERROR(SEARCH("D",Z62)))</formula>
    </cfRule>
    <cfRule type="containsText" dxfId="954" priority="1618" operator="containsText" text="A">
      <formula>NOT(ISERROR(SEARCH("A",Z62)))</formula>
    </cfRule>
    <cfRule type="containsText" dxfId="953" priority="1619" operator="containsText" text="D">
      <formula>NOT(ISERROR(SEARCH("D",Z62)))</formula>
    </cfRule>
    <cfRule type="containsText" dxfId="952" priority="1620" operator="containsText" text="A">
      <formula>NOT(ISERROR(SEARCH("A",Z62)))</formula>
    </cfRule>
  </conditionalFormatting>
  <conditionalFormatting sqref="AG14:AG16">
    <cfRule type="containsText" dxfId="951" priority="403" operator="containsText" text="D">
      <formula>NOT(ISERROR(SEARCH("D",AG14)))</formula>
    </cfRule>
    <cfRule type="containsText" dxfId="950" priority="404" operator="containsText" text="A">
      <formula>NOT(ISERROR(SEARCH("A",AG14)))</formula>
    </cfRule>
    <cfRule type="containsText" dxfId="949" priority="427" operator="containsText" text="D">
      <formula>NOT(ISERROR(SEARCH("D",AG14)))</formula>
    </cfRule>
    <cfRule type="containsText" dxfId="948" priority="428" operator="containsText" text="A">
      <formula>NOT(ISERROR(SEARCH("A",AG14)))</formula>
    </cfRule>
    <cfRule type="containsText" dxfId="947" priority="659" operator="containsText" text="D">
      <formula>NOT(ISERROR(SEARCH("D",AG14)))</formula>
    </cfRule>
    <cfRule type="containsText" dxfId="946" priority="660" operator="containsText" text="A">
      <formula>NOT(ISERROR(SEARCH("A",AG14)))</formula>
    </cfRule>
    <cfRule type="containsText" dxfId="945" priority="683" operator="containsText" text="D">
      <formula>NOT(ISERROR(SEARCH("D",AG14)))</formula>
    </cfRule>
    <cfRule type="containsText" dxfId="944" priority="684" operator="containsText" text="A">
      <formula>NOT(ISERROR(SEARCH("A",AG14)))</formula>
    </cfRule>
    <cfRule type="containsText" dxfId="943" priority="1251" operator="containsText" text="D">
      <formula>NOT(ISERROR(SEARCH("D",AG14)))</formula>
    </cfRule>
    <cfRule type="containsText" dxfId="942" priority="1252" operator="containsText" text="A">
      <formula>NOT(ISERROR(SEARCH("A",AG14)))</formula>
    </cfRule>
    <cfRule type="containsText" dxfId="941" priority="1275" operator="containsText" text="D">
      <formula>NOT(ISERROR(SEARCH("D",AG14)))</formula>
    </cfRule>
    <cfRule type="containsText" dxfId="940" priority="1276" operator="containsText" text="A">
      <formula>NOT(ISERROR(SEARCH("A",AG14)))</formula>
    </cfRule>
    <cfRule type="containsText" dxfId="939" priority="1415" operator="containsText" text="D">
      <formula>NOT(ISERROR(SEARCH("D",AG14)))</formula>
    </cfRule>
    <cfRule type="containsText" dxfId="938" priority="1416" operator="containsText" text="A">
      <formula>NOT(ISERROR(SEARCH("A",AG14)))</formula>
    </cfRule>
    <cfRule type="containsText" dxfId="937" priority="1611" operator="containsText" text="D">
      <formula>NOT(ISERROR(SEARCH("D",AG14)))</formula>
    </cfRule>
    <cfRule type="containsText" dxfId="936" priority="1612" operator="containsText" text="A">
      <formula>NOT(ISERROR(SEARCH("A",AG14)))</formula>
    </cfRule>
  </conditionalFormatting>
  <conditionalFormatting sqref="AF11:AM11">
    <cfRule type="containsText" dxfId="935" priority="1413" operator="containsText" text="D">
      <formula>NOT(ISERROR(SEARCH("D",AF11)))</formula>
    </cfRule>
    <cfRule type="containsText" dxfId="934" priority="1414" operator="containsText" text="A">
      <formula>NOT(ISERROR(SEARCH("A",AF11)))</formula>
    </cfRule>
    <cfRule type="containsText" dxfId="933" priority="1609" operator="containsText" text="D">
      <formula>NOT(ISERROR(SEARCH("D",AF11)))</formula>
    </cfRule>
    <cfRule type="containsText" dxfId="932" priority="1610" operator="containsText" text="A">
      <formula>NOT(ISERROR(SEARCH("A",AF11)))</formula>
    </cfRule>
  </conditionalFormatting>
  <conditionalFormatting sqref="AF14:AF16">
    <cfRule type="containsText" dxfId="931" priority="1411" operator="containsText" text="D">
      <formula>NOT(ISERROR(SEARCH("D",AF14)))</formula>
    </cfRule>
    <cfRule type="containsText" dxfId="930" priority="1412" operator="containsText" text="A">
      <formula>NOT(ISERROR(SEARCH("A",AF14)))</formula>
    </cfRule>
    <cfRule type="containsText" dxfId="929" priority="1607" operator="containsText" text="D">
      <formula>NOT(ISERROR(SEARCH("D",AF14)))</formula>
    </cfRule>
    <cfRule type="containsText" dxfId="928" priority="1608" operator="containsText" text="A">
      <formula>NOT(ISERROR(SEARCH("A",AF14)))</formula>
    </cfRule>
  </conditionalFormatting>
  <conditionalFormatting sqref="Q46:Q47">
    <cfRule type="containsText" dxfId="927" priority="1605" operator="containsText" text="D">
      <formula>NOT(ISERROR(SEARCH("D",Q46)))</formula>
    </cfRule>
    <cfRule type="containsText" dxfId="926" priority="1606" operator="containsText" text="A">
      <formula>NOT(ISERROR(SEARCH("A",Q46)))</formula>
    </cfRule>
  </conditionalFormatting>
  <conditionalFormatting sqref="AF12:AM14">
    <cfRule type="containsText" dxfId="925" priority="1603" operator="containsText" text="D">
      <formula>NOT(ISERROR(SEARCH("D",AF12)))</formula>
    </cfRule>
    <cfRule type="containsText" dxfId="924" priority="1604" operator="containsText" text="A">
      <formula>NOT(ISERROR(SEARCH("A",AF12)))</formula>
    </cfRule>
  </conditionalFormatting>
  <conditionalFormatting sqref="L10:AG10">
    <cfRule type="containsText" dxfId="923" priority="1601" operator="containsText" text="D">
      <formula>NOT(ISERROR(SEARCH("D",L10)))</formula>
    </cfRule>
    <cfRule type="containsText" dxfId="922" priority="1602" operator="containsText" text="A">
      <formula>NOT(ISERROR(SEARCH("A",L10)))</formula>
    </cfRule>
  </conditionalFormatting>
  <conditionalFormatting sqref="M36:M37">
    <cfRule type="containsText" dxfId="921" priority="1599" operator="containsText" text="D">
      <formula>NOT(ISERROR(SEARCH("D",M36)))</formula>
    </cfRule>
    <cfRule type="containsText" dxfId="920" priority="1600" operator="containsText" text="A">
      <formula>NOT(ISERROR(SEARCH("A",M36)))</formula>
    </cfRule>
  </conditionalFormatting>
  <conditionalFormatting sqref="M34:M35">
    <cfRule type="containsText" dxfId="919" priority="1597" operator="containsText" text="D">
      <formula>NOT(ISERROR(SEARCH("D",M34)))</formula>
    </cfRule>
    <cfRule type="containsText" dxfId="918" priority="1598" operator="containsText" text="A">
      <formula>NOT(ISERROR(SEARCH("A",M34)))</formula>
    </cfRule>
  </conditionalFormatting>
  <conditionalFormatting sqref="M35:M36">
    <cfRule type="containsText" dxfId="917" priority="1595" operator="containsText" text="D">
      <formula>NOT(ISERROR(SEARCH("D",M35)))</formula>
    </cfRule>
    <cfRule type="containsText" dxfId="916" priority="1596" operator="containsText" text="A">
      <formula>NOT(ISERROR(SEARCH("A",M35)))</formula>
    </cfRule>
  </conditionalFormatting>
  <conditionalFormatting sqref="Y63:AC63">
    <cfRule type="containsText" dxfId="915" priority="1587" operator="containsText" text="D">
      <formula>NOT(ISERROR(SEARCH("D",Y63)))</formula>
    </cfRule>
    <cfRule type="containsText" dxfId="914" priority="1588" operator="containsText" text="A">
      <formula>NOT(ISERROR(SEARCH("A",Y63)))</formula>
    </cfRule>
    <cfRule type="containsText" dxfId="913" priority="1589" operator="containsText" text="D">
      <formula>NOT(ISERROR(SEARCH("D",Y63)))</formula>
    </cfRule>
    <cfRule type="containsText" dxfId="912" priority="1590" operator="containsText" text="A">
      <formula>NOT(ISERROR(SEARCH("A",Y63)))</formula>
    </cfRule>
    <cfRule type="containsText" dxfId="911" priority="1591" operator="containsText" text="D">
      <formula>NOT(ISERROR(SEARCH("D",Y63)))</formula>
    </cfRule>
    <cfRule type="containsText" dxfId="910" priority="1592" operator="containsText" text="A">
      <formula>NOT(ISERROR(SEARCH("A",Y63)))</formula>
    </cfRule>
    <cfRule type="containsText" dxfId="909" priority="1593" operator="containsText" text="D">
      <formula>NOT(ISERROR(SEARCH("D",Y63)))</formula>
    </cfRule>
    <cfRule type="containsText" dxfId="908" priority="1594" operator="containsText" text="A">
      <formula>NOT(ISERROR(SEARCH("A",Y63)))</formula>
    </cfRule>
  </conditionalFormatting>
  <conditionalFormatting sqref="U10:W10">
    <cfRule type="containsText" dxfId="907" priority="1585" operator="containsText" text="D">
      <formula>NOT(ISERROR(SEARCH("D",U10)))</formula>
    </cfRule>
    <cfRule type="containsText" dxfId="906" priority="1586" operator="containsText" text="A">
      <formula>NOT(ISERROR(SEARCH("A",U10)))</formula>
    </cfRule>
  </conditionalFormatting>
  <conditionalFormatting sqref="AE12:AI12">
    <cfRule type="containsText" dxfId="905" priority="1583" operator="containsText" text="D">
      <formula>NOT(ISERROR(SEARCH("D",AE12)))</formula>
    </cfRule>
    <cfRule type="containsText" dxfId="904" priority="1584" operator="containsText" text="A">
      <formula>NOT(ISERROR(SEARCH("A",AE12)))</formula>
    </cfRule>
  </conditionalFormatting>
  <conditionalFormatting sqref="AG17:AG19">
    <cfRule type="containsText" dxfId="903" priority="423" operator="containsText" text="D">
      <formula>NOT(ISERROR(SEARCH("D",AG17)))</formula>
    </cfRule>
    <cfRule type="containsText" dxfId="902" priority="424" operator="containsText" text="A">
      <formula>NOT(ISERROR(SEARCH("A",AG17)))</formula>
    </cfRule>
    <cfRule type="containsText" dxfId="901" priority="679" operator="containsText" text="D">
      <formula>NOT(ISERROR(SEARCH("D",AG17)))</formula>
    </cfRule>
    <cfRule type="containsText" dxfId="900" priority="680" operator="containsText" text="A">
      <formula>NOT(ISERROR(SEARCH("A",AG17)))</formula>
    </cfRule>
    <cfRule type="containsText" dxfId="899" priority="1271" operator="containsText" text="D">
      <formula>NOT(ISERROR(SEARCH("D",AG17)))</formula>
    </cfRule>
    <cfRule type="containsText" dxfId="898" priority="1272" operator="containsText" text="A">
      <formula>NOT(ISERROR(SEARCH("A",AG17)))</formula>
    </cfRule>
    <cfRule type="containsText" dxfId="897" priority="1581" operator="containsText" text="D">
      <formula>NOT(ISERROR(SEARCH("D",AG17)))</formula>
    </cfRule>
    <cfRule type="containsText" dxfId="896" priority="1582" operator="containsText" text="A">
      <formula>NOT(ISERROR(SEARCH("A",AG17)))</formula>
    </cfRule>
  </conditionalFormatting>
  <conditionalFormatting sqref="AF14:AM14">
    <cfRule type="containsText" dxfId="895" priority="1579" operator="containsText" text="D">
      <formula>NOT(ISERROR(SEARCH("D",AF14)))</formula>
    </cfRule>
    <cfRule type="containsText" dxfId="894" priority="1580" operator="containsText" text="A">
      <formula>NOT(ISERROR(SEARCH("A",AF14)))</formula>
    </cfRule>
  </conditionalFormatting>
  <conditionalFormatting sqref="AF17:AF19">
    <cfRule type="containsText" dxfId="893" priority="1577" operator="containsText" text="D">
      <formula>NOT(ISERROR(SEARCH("D",AF17)))</formula>
    </cfRule>
    <cfRule type="containsText" dxfId="892" priority="1578" operator="containsText" text="A">
      <formula>NOT(ISERROR(SEARCH("A",AF17)))</formula>
    </cfRule>
  </conditionalFormatting>
  <conditionalFormatting sqref="AK31:AN34 AK47:AN48">
    <cfRule type="containsText" dxfId="891" priority="1575" operator="containsText" text="D">
      <formula>NOT(ISERROR(SEARCH("D",AK31)))</formula>
    </cfRule>
    <cfRule type="containsText" dxfId="890" priority="1576" operator="containsText" text="A">
      <formula>NOT(ISERROR(SEARCH("A",AK31)))</formula>
    </cfRule>
  </conditionalFormatting>
  <conditionalFormatting sqref="Q34:Q35">
    <cfRule type="containsText" dxfId="889" priority="1573" operator="containsText" text="D">
      <formula>NOT(ISERROR(SEARCH("D",Q34)))</formula>
    </cfRule>
    <cfRule type="containsText" dxfId="888" priority="1574" operator="containsText" text="A">
      <formula>NOT(ISERROR(SEARCH("A",Q34)))</formula>
    </cfRule>
  </conditionalFormatting>
  <conditionalFormatting sqref="AE60:AE62">
    <cfRule type="containsText" dxfId="887" priority="417" operator="containsText" text="D">
      <formula>NOT(ISERROR(SEARCH("D",AE60)))</formula>
    </cfRule>
    <cfRule type="containsText" dxfId="886" priority="418" operator="containsText" text="A">
      <formula>NOT(ISERROR(SEARCH("A",AE60)))</formula>
    </cfRule>
    <cfRule type="containsText" dxfId="885" priority="673" operator="containsText" text="D">
      <formula>NOT(ISERROR(SEARCH("D",AE60)))</formula>
    </cfRule>
    <cfRule type="containsText" dxfId="884" priority="674" operator="containsText" text="A">
      <formula>NOT(ISERROR(SEARCH("A",AE60)))</formula>
    </cfRule>
    <cfRule type="containsText" dxfId="883" priority="1265" operator="containsText" text="D">
      <formula>NOT(ISERROR(SEARCH("D",AE60)))</formula>
    </cfRule>
    <cfRule type="containsText" dxfId="882" priority="1266" operator="containsText" text="A">
      <formula>NOT(ISERROR(SEARCH("A",AE60)))</formula>
    </cfRule>
    <cfRule type="containsText" dxfId="881" priority="1571" operator="containsText" text="D">
      <formula>NOT(ISERROR(SEARCH("D",AE60)))</formula>
    </cfRule>
    <cfRule type="containsText" dxfId="880" priority="1572" operator="containsText" text="A">
      <formula>NOT(ISERROR(SEARCH("A",AE60)))</formula>
    </cfRule>
  </conditionalFormatting>
  <conditionalFormatting sqref="M24:M25">
    <cfRule type="containsText" dxfId="879" priority="1569" operator="containsText" text="D">
      <formula>NOT(ISERROR(SEARCH("D",M24)))</formula>
    </cfRule>
    <cfRule type="containsText" dxfId="878" priority="1570" operator="containsText" text="A">
      <formula>NOT(ISERROR(SEARCH("A",M24)))</formula>
    </cfRule>
  </conditionalFormatting>
  <conditionalFormatting sqref="M22:M23">
    <cfRule type="containsText" dxfId="877" priority="1567" operator="containsText" text="D">
      <formula>NOT(ISERROR(SEARCH("D",M22)))</formula>
    </cfRule>
    <cfRule type="containsText" dxfId="876" priority="1568" operator="containsText" text="A">
      <formula>NOT(ISERROR(SEARCH("A",M22)))</formula>
    </cfRule>
  </conditionalFormatting>
  <conditionalFormatting sqref="M23:M24">
    <cfRule type="containsText" dxfId="875" priority="1565" operator="containsText" text="D">
      <formula>NOT(ISERROR(SEARCH("D",M23)))</formula>
    </cfRule>
    <cfRule type="containsText" dxfId="874" priority="1566" operator="containsText" text="A">
      <formula>NOT(ISERROR(SEARCH("A",M23)))</formula>
    </cfRule>
  </conditionalFormatting>
  <conditionalFormatting sqref="AA60:AA62">
    <cfRule type="containsText" dxfId="873" priority="415" operator="containsText" text="D">
      <formula>NOT(ISERROR(SEARCH("D",AA60)))</formula>
    </cfRule>
    <cfRule type="containsText" dxfId="872" priority="416" operator="containsText" text="A">
      <formula>NOT(ISERROR(SEARCH("A",AA60)))</formula>
    </cfRule>
    <cfRule type="containsText" dxfId="871" priority="671" operator="containsText" text="D">
      <formula>NOT(ISERROR(SEARCH("D",AA60)))</formula>
    </cfRule>
    <cfRule type="containsText" dxfId="870" priority="672" operator="containsText" text="A">
      <formula>NOT(ISERROR(SEARCH("A",AA60)))</formula>
    </cfRule>
    <cfRule type="containsText" dxfId="869" priority="1263" operator="containsText" text="D">
      <formula>NOT(ISERROR(SEARCH("D",AA60)))</formula>
    </cfRule>
    <cfRule type="containsText" dxfId="868" priority="1264" operator="containsText" text="A">
      <formula>NOT(ISERROR(SEARCH("A",AA60)))</formula>
    </cfRule>
    <cfRule type="containsText" dxfId="867" priority="1563" operator="containsText" text="D">
      <formula>NOT(ISERROR(SEARCH("D",AA60)))</formula>
    </cfRule>
    <cfRule type="containsText" dxfId="866" priority="1564" operator="containsText" text="A">
      <formula>NOT(ISERROR(SEARCH("A",AA60)))</formula>
    </cfRule>
  </conditionalFormatting>
  <conditionalFormatting sqref="AC61:AF61">
    <cfRule type="containsText" dxfId="865" priority="1561" operator="containsText" text="D">
      <formula>NOT(ISERROR(SEARCH("D",AC61)))</formula>
    </cfRule>
    <cfRule type="containsText" dxfId="864" priority="1562" operator="containsText" text="A">
      <formula>NOT(ISERROR(SEARCH("A",AC61)))</formula>
    </cfRule>
  </conditionalFormatting>
  <conditionalFormatting sqref="V59:Z59">
    <cfRule type="containsText" dxfId="863" priority="1557" operator="containsText" text="D">
      <formula>NOT(ISERROR(SEARCH("D",V59)))</formula>
    </cfRule>
    <cfRule type="containsText" dxfId="862" priority="1558" operator="containsText" text="A">
      <formula>NOT(ISERROR(SEARCH("A",V59)))</formula>
    </cfRule>
    <cfRule type="containsText" dxfId="861" priority="1559" operator="containsText" text="D">
      <formula>NOT(ISERROR(SEARCH("D",V59)))</formula>
    </cfRule>
    <cfRule type="containsText" dxfId="860" priority="1560" operator="containsText" text="A">
      <formula>NOT(ISERROR(SEARCH("A",V59)))</formula>
    </cfRule>
  </conditionalFormatting>
  <conditionalFormatting sqref="X61:AB61">
    <cfRule type="containsText" dxfId="859" priority="1553" operator="containsText" text="D">
      <formula>NOT(ISERROR(SEARCH("D",X61)))</formula>
    </cfRule>
    <cfRule type="containsText" dxfId="858" priority="1554" operator="containsText" text="A">
      <formula>NOT(ISERROR(SEARCH("A",X61)))</formula>
    </cfRule>
    <cfRule type="containsText" dxfId="857" priority="1555" operator="containsText" text="D">
      <formula>NOT(ISERROR(SEARCH("D",X61)))</formula>
    </cfRule>
    <cfRule type="containsText" dxfId="856" priority="1556" operator="containsText" text="A">
      <formula>NOT(ISERROR(SEARCH("A",X61)))</formula>
    </cfRule>
  </conditionalFormatting>
  <conditionalFormatting sqref="Y51:AC51">
    <cfRule type="containsText" dxfId="855" priority="1545" operator="containsText" text="D">
      <formula>NOT(ISERROR(SEARCH("D",Y51)))</formula>
    </cfRule>
    <cfRule type="containsText" dxfId="854" priority="1546" operator="containsText" text="A">
      <formula>NOT(ISERROR(SEARCH("A",Y51)))</formula>
    </cfRule>
    <cfRule type="containsText" dxfId="853" priority="1547" operator="containsText" text="D">
      <formula>NOT(ISERROR(SEARCH("D",Y51)))</formula>
    </cfRule>
    <cfRule type="containsText" dxfId="852" priority="1548" operator="containsText" text="A">
      <formula>NOT(ISERROR(SEARCH("A",Y51)))</formula>
    </cfRule>
    <cfRule type="containsText" dxfId="851" priority="1549" operator="containsText" text="D">
      <formula>NOT(ISERROR(SEARCH("D",Y51)))</formula>
    </cfRule>
    <cfRule type="containsText" dxfId="850" priority="1550" operator="containsText" text="A">
      <formula>NOT(ISERROR(SEARCH("A",Y51)))</formula>
    </cfRule>
    <cfRule type="containsText" dxfId="849" priority="1551" operator="containsText" text="D">
      <formula>NOT(ISERROR(SEARCH("D",Y51)))</formula>
    </cfRule>
    <cfRule type="containsText" dxfId="848" priority="1552" operator="containsText" text="A">
      <formula>NOT(ISERROR(SEARCH("A",Y51)))</formula>
    </cfRule>
  </conditionalFormatting>
  <conditionalFormatting sqref="Z53:AD53">
    <cfRule type="containsText" dxfId="847" priority="1537" operator="containsText" text="D">
      <formula>NOT(ISERROR(SEARCH("D",Z53)))</formula>
    </cfRule>
    <cfRule type="containsText" dxfId="846" priority="1538" operator="containsText" text="A">
      <formula>NOT(ISERROR(SEARCH("A",Z53)))</formula>
    </cfRule>
    <cfRule type="containsText" dxfId="845" priority="1539" operator="containsText" text="D">
      <formula>NOT(ISERROR(SEARCH("D",Z53)))</formula>
    </cfRule>
    <cfRule type="containsText" dxfId="844" priority="1540" operator="containsText" text="A">
      <formula>NOT(ISERROR(SEARCH("A",Z53)))</formula>
    </cfRule>
    <cfRule type="containsText" dxfId="843" priority="1541" operator="containsText" text="D">
      <formula>NOT(ISERROR(SEARCH("D",Z53)))</formula>
    </cfRule>
    <cfRule type="containsText" dxfId="842" priority="1542" operator="containsText" text="A">
      <formula>NOT(ISERROR(SEARCH("A",Z53)))</formula>
    </cfRule>
    <cfRule type="containsText" dxfId="841" priority="1543" operator="containsText" text="D">
      <formula>NOT(ISERROR(SEARCH("D",Z53)))</formula>
    </cfRule>
    <cfRule type="containsText" dxfId="840" priority="1544" operator="containsText" text="A">
      <formula>NOT(ISERROR(SEARCH("A",Z53)))</formula>
    </cfRule>
  </conditionalFormatting>
  <conditionalFormatting sqref="AA56:AE56">
    <cfRule type="containsText" dxfId="839" priority="1529" operator="containsText" text="D">
      <formula>NOT(ISERROR(SEARCH("D",AA56)))</formula>
    </cfRule>
    <cfRule type="containsText" dxfId="838" priority="1530" operator="containsText" text="A">
      <formula>NOT(ISERROR(SEARCH("A",AA56)))</formula>
    </cfRule>
    <cfRule type="containsText" dxfId="837" priority="1531" operator="containsText" text="D">
      <formula>NOT(ISERROR(SEARCH("D",AA56)))</formula>
    </cfRule>
    <cfRule type="containsText" dxfId="836" priority="1532" operator="containsText" text="A">
      <formula>NOT(ISERROR(SEARCH("A",AA56)))</formula>
    </cfRule>
    <cfRule type="containsText" dxfId="835" priority="1533" operator="containsText" text="D">
      <formula>NOT(ISERROR(SEARCH("D",AA56)))</formula>
    </cfRule>
    <cfRule type="containsText" dxfId="834" priority="1534" operator="containsText" text="A">
      <formula>NOT(ISERROR(SEARCH("A",AA56)))</formula>
    </cfRule>
    <cfRule type="containsText" dxfId="833" priority="1535" operator="containsText" text="D">
      <formula>NOT(ISERROR(SEARCH("D",AA56)))</formula>
    </cfRule>
    <cfRule type="containsText" dxfId="832" priority="1536" operator="containsText" text="A">
      <formula>NOT(ISERROR(SEARCH("A",AA56)))</formula>
    </cfRule>
  </conditionalFormatting>
  <conditionalFormatting sqref="AB58:AF58">
    <cfRule type="containsText" dxfId="831" priority="1521" operator="containsText" text="D">
      <formula>NOT(ISERROR(SEARCH("D",AB58)))</formula>
    </cfRule>
    <cfRule type="containsText" dxfId="830" priority="1522" operator="containsText" text="A">
      <formula>NOT(ISERROR(SEARCH("A",AB58)))</formula>
    </cfRule>
    <cfRule type="containsText" dxfId="829" priority="1523" operator="containsText" text="D">
      <formula>NOT(ISERROR(SEARCH("D",AB58)))</formula>
    </cfRule>
    <cfRule type="containsText" dxfId="828" priority="1524" operator="containsText" text="A">
      <formula>NOT(ISERROR(SEARCH("A",AB58)))</formula>
    </cfRule>
    <cfRule type="containsText" dxfId="827" priority="1525" operator="containsText" text="D">
      <formula>NOT(ISERROR(SEARCH("D",AB58)))</formula>
    </cfRule>
    <cfRule type="containsText" dxfId="826" priority="1526" operator="containsText" text="A">
      <formula>NOT(ISERROR(SEARCH("A",AB58)))</formula>
    </cfRule>
    <cfRule type="containsText" dxfId="825" priority="1527" operator="containsText" text="D">
      <formula>NOT(ISERROR(SEARCH("D",AB58)))</formula>
    </cfRule>
    <cfRule type="containsText" dxfId="824" priority="1528" operator="containsText" text="A">
      <formula>NOT(ISERROR(SEARCH("A",AB58)))</formula>
    </cfRule>
  </conditionalFormatting>
  <conditionalFormatting sqref="AD60:AD62">
    <cfRule type="containsText" dxfId="823" priority="23" operator="containsText" text="D">
      <formula>NOT(ISERROR(SEARCH("D",AD60)))</formula>
    </cfRule>
    <cfRule type="containsText" dxfId="822" priority="24" operator="containsText" text="A">
      <formula>NOT(ISERROR(SEARCH("A",AD60)))</formula>
    </cfRule>
    <cfRule type="containsText" dxfId="821" priority="1519" operator="containsText" text="D">
      <formula>NOT(ISERROR(SEARCH("D",AD60)))</formula>
    </cfRule>
    <cfRule type="containsText" dxfId="820" priority="1520" operator="containsText" text="A">
      <formula>NOT(ISERROR(SEARCH("A",AD60)))</formula>
    </cfRule>
  </conditionalFormatting>
  <conditionalFormatting sqref="Z60:Z62">
    <cfRule type="containsText" dxfId="819" priority="1517" operator="containsText" text="D">
      <formula>NOT(ISERROR(SEARCH("D",Z60)))</formula>
    </cfRule>
    <cfRule type="containsText" dxfId="818" priority="1518" operator="containsText" text="A">
      <formula>NOT(ISERROR(SEARCH("A",Z60)))</formula>
    </cfRule>
  </conditionalFormatting>
  <conditionalFormatting sqref="AB61:AE61">
    <cfRule type="containsText" dxfId="817" priority="1515" operator="containsText" text="D">
      <formula>NOT(ISERROR(SEARCH("D",AB61)))</formula>
    </cfRule>
    <cfRule type="containsText" dxfId="816" priority="1516" operator="containsText" text="A">
      <formula>NOT(ISERROR(SEARCH("A",AB61)))</formula>
    </cfRule>
  </conditionalFormatting>
  <conditionalFormatting sqref="AF9:AM11">
    <cfRule type="containsText" dxfId="815" priority="1437" operator="containsText" text="D">
      <formula>NOT(ISERROR(SEARCH("D",AF9)))</formula>
    </cfRule>
    <cfRule type="containsText" dxfId="814" priority="1438" operator="containsText" text="A">
      <formula>NOT(ISERROR(SEARCH("A",AF9)))</formula>
    </cfRule>
  </conditionalFormatting>
  <conditionalFormatting sqref="L7:AG7">
    <cfRule type="containsText" dxfId="813" priority="1435" operator="containsText" text="D">
      <formula>NOT(ISERROR(SEARCH("D",L7)))</formula>
    </cfRule>
    <cfRule type="containsText" dxfId="812" priority="1436" operator="containsText" text="A">
      <formula>NOT(ISERROR(SEARCH("A",L7)))</formula>
    </cfRule>
  </conditionalFormatting>
  <conditionalFormatting sqref="U7:W7">
    <cfRule type="containsText" dxfId="811" priority="1419" operator="containsText" text="D">
      <formula>NOT(ISERROR(SEARCH("D",U7)))</formula>
    </cfRule>
    <cfRule type="containsText" dxfId="810" priority="1420" operator="containsText" text="A">
      <formula>NOT(ISERROR(SEARCH("A",U7)))</formula>
    </cfRule>
  </conditionalFormatting>
  <conditionalFormatting sqref="AE9:AI9">
    <cfRule type="containsText" dxfId="809" priority="1417" operator="containsText" text="D">
      <formula>NOT(ISERROR(SEARCH("D",AE9)))</formula>
    </cfRule>
    <cfRule type="containsText" dxfId="808" priority="1418" operator="containsText" text="A">
      <formula>NOT(ISERROR(SEARCH("A",AE9)))</formula>
    </cfRule>
  </conditionalFormatting>
  <conditionalFormatting sqref="X76:X79">
    <cfRule type="containsText" dxfId="807" priority="1409" operator="containsText" text="D">
      <formula>NOT(ISERROR(SEARCH("D",X76)))</formula>
    </cfRule>
    <cfRule type="containsText" dxfId="806" priority="1410" operator="containsText" text="A">
      <formula>NOT(ISERROR(SEARCH("A",X76)))</formula>
    </cfRule>
  </conditionalFormatting>
  <conditionalFormatting sqref="Z76:Z80">
    <cfRule type="containsText" dxfId="805" priority="135" operator="containsText" text="D">
      <formula>NOT(ISERROR(SEARCH("D",Z76)))</formula>
    </cfRule>
    <cfRule type="containsText" dxfId="804" priority="136" operator="containsText" text="A">
      <formula>NOT(ISERROR(SEARCH("A",Z76)))</formula>
    </cfRule>
    <cfRule type="containsText" dxfId="803" priority="257" operator="containsText" text="D">
      <formula>NOT(ISERROR(SEARCH("D",Z76)))</formula>
    </cfRule>
    <cfRule type="containsText" dxfId="802" priority="258" operator="containsText" text="A">
      <formula>NOT(ISERROR(SEARCH("A",Z76)))</formula>
    </cfRule>
    <cfRule type="containsText" dxfId="801" priority="385" operator="containsText" text="D">
      <formula>NOT(ISERROR(SEARCH("D",Z76)))</formula>
    </cfRule>
    <cfRule type="containsText" dxfId="800" priority="386" operator="containsText" text="A">
      <formula>NOT(ISERROR(SEARCH("A",Z76)))</formula>
    </cfRule>
    <cfRule type="containsText" dxfId="799" priority="517" operator="containsText" text="D">
      <formula>NOT(ISERROR(SEARCH("D",Z76)))</formula>
    </cfRule>
    <cfRule type="containsText" dxfId="798" priority="518" operator="containsText" text="A">
      <formula>NOT(ISERROR(SEARCH("A",Z76)))</formula>
    </cfRule>
    <cfRule type="containsText" dxfId="797" priority="637" operator="containsText" text="D">
      <formula>NOT(ISERROR(SEARCH("D",Z76)))</formula>
    </cfRule>
    <cfRule type="containsText" dxfId="796" priority="638" operator="containsText" text="A">
      <formula>NOT(ISERROR(SEARCH("A",Z76)))</formula>
    </cfRule>
    <cfRule type="containsText" dxfId="795" priority="785" operator="containsText" text="D">
      <formula>NOT(ISERROR(SEARCH("D",Z76)))</formula>
    </cfRule>
    <cfRule type="containsText" dxfId="794" priority="786" operator="containsText" text="A">
      <formula>NOT(ISERROR(SEARCH("A",Z76)))</formula>
    </cfRule>
    <cfRule type="containsText" dxfId="793" priority="1407" operator="containsText" text="D">
      <formula>NOT(ISERROR(SEARCH("D",Z76)))</formula>
    </cfRule>
    <cfRule type="containsText" dxfId="792" priority="1408" operator="containsText" text="A">
      <formula>NOT(ISERROR(SEARCH("A",Z76)))</formula>
    </cfRule>
  </conditionalFormatting>
  <conditionalFormatting sqref="AF76:AF81">
    <cfRule type="containsText" dxfId="791" priority="129" operator="containsText" text="D">
      <formula>NOT(ISERROR(SEARCH("D",AF76)))</formula>
    </cfRule>
    <cfRule type="containsText" dxfId="790" priority="130" operator="containsText" text="A">
      <formula>NOT(ISERROR(SEARCH("A",AF76)))</formula>
    </cfRule>
    <cfRule type="containsText" dxfId="789" priority="139" operator="containsText" text="D">
      <formula>NOT(ISERROR(SEARCH("D",AF76)))</formula>
    </cfRule>
    <cfRule type="containsText" dxfId="788" priority="140" operator="containsText" text="A">
      <formula>NOT(ISERROR(SEARCH("A",AF76)))</formula>
    </cfRule>
    <cfRule type="containsText" dxfId="787" priority="243" operator="containsText" text="D">
      <formula>NOT(ISERROR(SEARCH("D",AF76)))</formula>
    </cfRule>
    <cfRule type="containsText" dxfId="786" priority="244" operator="containsText" text="A">
      <formula>NOT(ISERROR(SEARCH("A",AF76)))</formula>
    </cfRule>
    <cfRule type="containsText" dxfId="785" priority="251" operator="containsText" text="D">
      <formula>NOT(ISERROR(SEARCH("D",AF76)))</formula>
    </cfRule>
    <cfRule type="containsText" dxfId="784" priority="252" operator="containsText" text="A">
      <formula>NOT(ISERROR(SEARCH("A",AF76)))</formula>
    </cfRule>
    <cfRule type="containsText" dxfId="783" priority="371" operator="containsText" text="D">
      <formula>NOT(ISERROR(SEARCH("D",AF76)))</formula>
    </cfRule>
    <cfRule type="containsText" dxfId="782" priority="372" operator="containsText" text="A">
      <formula>NOT(ISERROR(SEARCH("A",AF76)))</formula>
    </cfRule>
    <cfRule type="containsText" dxfId="781" priority="379" operator="containsText" text="D">
      <formula>NOT(ISERROR(SEARCH("D",AF76)))</formula>
    </cfRule>
    <cfRule type="containsText" dxfId="780" priority="380" operator="containsText" text="A">
      <formula>NOT(ISERROR(SEARCH("A",AF76)))</formula>
    </cfRule>
    <cfRule type="containsText" dxfId="779" priority="503" operator="containsText" text="D">
      <formula>NOT(ISERROR(SEARCH("D",AF76)))</formula>
    </cfRule>
    <cfRule type="containsText" dxfId="778" priority="504" operator="containsText" text="A">
      <formula>NOT(ISERROR(SEARCH("A",AF76)))</formula>
    </cfRule>
    <cfRule type="containsText" dxfId="777" priority="511" operator="containsText" text="D">
      <formula>NOT(ISERROR(SEARCH("D",AF76)))</formula>
    </cfRule>
    <cfRule type="containsText" dxfId="776" priority="512" operator="containsText" text="A">
      <formula>NOT(ISERROR(SEARCH("A",AF76)))</formula>
    </cfRule>
    <cfRule type="containsText" dxfId="775" priority="623" operator="containsText" text="D">
      <formula>NOT(ISERROR(SEARCH("D",AF76)))</formula>
    </cfRule>
    <cfRule type="containsText" dxfId="774" priority="624" operator="containsText" text="A">
      <formula>NOT(ISERROR(SEARCH("A",AF76)))</formula>
    </cfRule>
    <cfRule type="containsText" dxfId="773" priority="631" operator="containsText" text="D">
      <formula>NOT(ISERROR(SEARCH("D",AF76)))</formula>
    </cfRule>
    <cfRule type="containsText" dxfId="772" priority="632" operator="containsText" text="A">
      <formula>NOT(ISERROR(SEARCH("A",AF76)))</formula>
    </cfRule>
    <cfRule type="containsText" dxfId="771" priority="771" operator="containsText" text="D">
      <formula>NOT(ISERROR(SEARCH("D",AF76)))</formula>
    </cfRule>
    <cfRule type="containsText" dxfId="770" priority="772" operator="containsText" text="A">
      <formula>NOT(ISERROR(SEARCH("A",AF76)))</formula>
    </cfRule>
    <cfRule type="containsText" dxfId="769" priority="779" operator="containsText" text="D">
      <formula>NOT(ISERROR(SEARCH("D",AF76)))</formula>
    </cfRule>
    <cfRule type="containsText" dxfId="768" priority="780" operator="containsText" text="A">
      <formula>NOT(ISERROR(SEARCH("A",AF76)))</formula>
    </cfRule>
    <cfRule type="containsText" dxfId="767" priority="1391" operator="containsText" text="D">
      <formula>NOT(ISERROR(SEARCH("D",AF76)))</formula>
    </cfRule>
    <cfRule type="containsText" dxfId="766" priority="1392" operator="containsText" text="A">
      <formula>NOT(ISERROR(SEARCH("A",AF76)))</formula>
    </cfRule>
    <cfRule type="containsText" dxfId="765" priority="1401" operator="containsText" text="D">
      <formula>NOT(ISERROR(SEARCH("D",AF76)))</formula>
    </cfRule>
    <cfRule type="containsText" dxfId="764" priority="1402" operator="containsText" text="A">
      <formula>NOT(ISERROR(SEARCH("A",AF76)))</formula>
    </cfRule>
  </conditionalFormatting>
  <conditionalFormatting sqref="X65:X72">
    <cfRule type="containsText" dxfId="763" priority="1363" operator="containsText" text="D">
      <formula>NOT(ISERROR(SEARCH("D",X65)))</formula>
    </cfRule>
    <cfRule type="containsText" dxfId="762" priority="1364" operator="containsText" text="A">
      <formula>NOT(ISERROR(SEARCH("A",X65)))</formula>
    </cfRule>
  </conditionalFormatting>
  <conditionalFormatting sqref="Z65:Z74">
    <cfRule type="containsText" dxfId="761" priority="99" operator="containsText" text="D">
      <formula>NOT(ISERROR(SEARCH("D",Z65)))</formula>
    </cfRule>
    <cfRule type="containsText" dxfId="760" priority="100" operator="containsText" text="A">
      <formula>NOT(ISERROR(SEARCH("A",Z65)))</formula>
    </cfRule>
    <cfRule type="containsText" dxfId="759" priority="225" operator="containsText" text="D">
      <formula>NOT(ISERROR(SEARCH("D",Z65)))</formula>
    </cfRule>
    <cfRule type="containsText" dxfId="758" priority="226" operator="containsText" text="A">
      <formula>NOT(ISERROR(SEARCH("A",Z65)))</formula>
    </cfRule>
    <cfRule type="containsText" dxfId="757" priority="353" operator="containsText" text="D">
      <formula>NOT(ISERROR(SEARCH("D",Z65)))</formula>
    </cfRule>
    <cfRule type="containsText" dxfId="756" priority="354" operator="containsText" text="A">
      <formula>NOT(ISERROR(SEARCH("A",Z65)))</formula>
    </cfRule>
    <cfRule type="containsText" dxfId="755" priority="489" operator="containsText" text="D">
      <formula>NOT(ISERROR(SEARCH("D",Z65)))</formula>
    </cfRule>
    <cfRule type="containsText" dxfId="754" priority="490" operator="containsText" text="A">
      <formula>NOT(ISERROR(SEARCH("A",Z65)))</formula>
    </cfRule>
    <cfRule type="containsText" dxfId="753" priority="601" operator="containsText" text="D">
      <formula>NOT(ISERROR(SEARCH("D",Z65)))</formula>
    </cfRule>
    <cfRule type="containsText" dxfId="752" priority="602" operator="containsText" text="A">
      <formula>NOT(ISERROR(SEARCH("A",Z65)))</formula>
    </cfRule>
    <cfRule type="containsText" dxfId="751" priority="753" operator="containsText" text="D">
      <formula>NOT(ISERROR(SEARCH("D",Z65)))</formula>
    </cfRule>
    <cfRule type="containsText" dxfId="750" priority="754" operator="containsText" text="A">
      <formula>NOT(ISERROR(SEARCH("A",Z65)))</formula>
    </cfRule>
    <cfRule type="containsText" dxfId="749" priority="1361" operator="containsText" text="D">
      <formula>NOT(ISERROR(SEARCH("D",Z65)))</formula>
    </cfRule>
    <cfRule type="containsText" dxfId="748" priority="1362" operator="containsText" text="A">
      <formula>NOT(ISERROR(SEARCH("A",Z65)))</formula>
    </cfRule>
  </conditionalFormatting>
  <conditionalFormatting sqref="AF65:AF75">
    <cfRule type="containsText" dxfId="747" priority="93" operator="containsText" text="D">
      <formula>NOT(ISERROR(SEARCH("D",AF65)))</formula>
    </cfRule>
    <cfRule type="containsText" dxfId="746" priority="94" operator="containsText" text="A">
      <formula>NOT(ISERROR(SEARCH("A",AF65)))</formula>
    </cfRule>
    <cfRule type="containsText" dxfId="745" priority="103" operator="containsText" text="D">
      <formula>NOT(ISERROR(SEARCH("D",AF65)))</formula>
    </cfRule>
    <cfRule type="containsText" dxfId="744" priority="104" operator="containsText" text="A">
      <formula>NOT(ISERROR(SEARCH("A",AF65)))</formula>
    </cfRule>
    <cfRule type="containsText" dxfId="743" priority="211" operator="containsText" text="D">
      <formula>NOT(ISERROR(SEARCH("D",AF65)))</formula>
    </cfRule>
    <cfRule type="containsText" dxfId="742" priority="212" operator="containsText" text="A">
      <formula>NOT(ISERROR(SEARCH("A",AF65)))</formula>
    </cfRule>
    <cfRule type="containsText" dxfId="741" priority="219" operator="containsText" text="D">
      <formula>NOT(ISERROR(SEARCH("D",AF65)))</formula>
    </cfRule>
    <cfRule type="containsText" dxfId="740" priority="220" operator="containsText" text="A">
      <formula>NOT(ISERROR(SEARCH("A",AF65)))</formula>
    </cfRule>
    <cfRule type="containsText" dxfId="739" priority="339" operator="containsText" text="D">
      <formula>NOT(ISERROR(SEARCH("D",AF65)))</formula>
    </cfRule>
    <cfRule type="containsText" dxfId="738" priority="340" operator="containsText" text="A">
      <formula>NOT(ISERROR(SEARCH("A",AF65)))</formula>
    </cfRule>
    <cfRule type="containsText" dxfId="737" priority="347" operator="containsText" text="D">
      <formula>NOT(ISERROR(SEARCH("D",AF65)))</formula>
    </cfRule>
    <cfRule type="containsText" dxfId="736" priority="348" operator="containsText" text="A">
      <formula>NOT(ISERROR(SEARCH("A",AF65)))</formula>
    </cfRule>
    <cfRule type="containsText" dxfId="735" priority="475" operator="containsText" text="D">
      <formula>NOT(ISERROR(SEARCH("D",AF65)))</formula>
    </cfRule>
    <cfRule type="containsText" dxfId="734" priority="476" operator="containsText" text="A">
      <formula>NOT(ISERROR(SEARCH("A",AF65)))</formula>
    </cfRule>
    <cfRule type="containsText" dxfId="733" priority="483" operator="containsText" text="D">
      <formula>NOT(ISERROR(SEARCH("D",AF65)))</formula>
    </cfRule>
    <cfRule type="containsText" dxfId="732" priority="484" operator="containsText" text="A">
      <formula>NOT(ISERROR(SEARCH("A",AF65)))</formula>
    </cfRule>
    <cfRule type="containsText" dxfId="731" priority="587" operator="containsText" text="D">
      <formula>NOT(ISERROR(SEARCH("D",AF65)))</formula>
    </cfRule>
    <cfRule type="containsText" dxfId="730" priority="588" operator="containsText" text="A">
      <formula>NOT(ISERROR(SEARCH("A",AF65)))</formula>
    </cfRule>
    <cfRule type="containsText" dxfId="729" priority="595" operator="containsText" text="D">
      <formula>NOT(ISERROR(SEARCH("D",AF65)))</formula>
    </cfRule>
    <cfRule type="containsText" dxfId="728" priority="596" operator="containsText" text="A">
      <formula>NOT(ISERROR(SEARCH("A",AF65)))</formula>
    </cfRule>
    <cfRule type="containsText" dxfId="727" priority="739" operator="containsText" text="D">
      <formula>NOT(ISERROR(SEARCH("D",AF65)))</formula>
    </cfRule>
    <cfRule type="containsText" dxfId="726" priority="740" operator="containsText" text="A">
      <formula>NOT(ISERROR(SEARCH("A",AF65)))</formula>
    </cfRule>
    <cfRule type="containsText" dxfId="725" priority="747" operator="containsText" text="D">
      <formula>NOT(ISERROR(SEARCH("D",AF65)))</formula>
    </cfRule>
    <cfRule type="containsText" dxfId="724" priority="748" operator="containsText" text="A">
      <formula>NOT(ISERROR(SEARCH("A",AF65)))</formula>
    </cfRule>
    <cfRule type="containsText" dxfId="723" priority="1345" operator="containsText" text="D">
      <formula>NOT(ISERROR(SEARCH("D",AF65)))</formula>
    </cfRule>
    <cfRule type="containsText" dxfId="722" priority="1346" operator="containsText" text="A">
      <formula>NOT(ISERROR(SEARCH("A",AF65)))</formula>
    </cfRule>
    <cfRule type="containsText" dxfId="721" priority="1355" operator="containsText" text="D">
      <formula>NOT(ISERROR(SEARCH("D",AF65)))</formula>
    </cfRule>
    <cfRule type="containsText" dxfId="720" priority="1356" operator="containsText" text="A">
      <formula>NOT(ISERROR(SEARCH("A",AF65)))</formula>
    </cfRule>
  </conditionalFormatting>
  <conditionalFormatting sqref="U19:U40">
    <cfRule type="containsText" dxfId="719" priority="1323" operator="containsText" text="D">
      <formula>NOT(ISERROR(SEARCH("D",U19)))</formula>
    </cfRule>
    <cfRule type="containsText" dxfId="718" priority="1324" operator="containsText" text="A">
      <formula>NOT(ISERROR(SEARCH("A",U19)))</formula>
    </cfRule>
  </conditionalFormatting>
  <conditionalFormatting sqref="AG7:AG19">
    <cfRule type="containsText" dxfId="717" priority="193" operator="containsText" text="D">
      <formula>NOT(ISERROR(SEARCH("D",AG7)))</formula>
    </cfRule>
    <cfRule type="containsText" dxfId="716" priority="194" operator="containsText" text="A">
      <formula>NOT(ISERROR(SEARCH("A",AG7)))</formula>
    </cfRule>
    <cfRule type="containsText" dxfId="715" priority="321" operator="containsText" text="D">
      <formula>NOT(ISERROR(SEARCH("D",AG7)))</formula>
    </cfRule>
    <cfRule type="containsText" dxfId="714" priority="322" operator="containsText" text="A">
      <formula>NOT(ISERROR(SEARCH("A",AG7)))</formula>
    </cfRule>
    <cfRule type="containsText" dxfId="713" priority="461" operator="containsText" text="D">
      <formula>NOT(ISERROR(SEARCH("D",AG7)))</formula>
    </cfRule>
    <cfRule type="containsText" dxfId="712" priority="462" operator="containsText" text="A">
      <formula>NOT(ISERROR(SEARCH("A",AG7)))</formula>
    </cfRule>
    <cfRule type="containsText" dxfId="711" priority="565" operator="containsText" text="D">
      <formula>NOT(ISERROR(SEARCH("D",AG7)))</formula>
    </cfRule>
    <cfRule type="containsText" dxfId="710" priority="566" operator="containsText" text="A">
      <formula>NOT(ISERROR(SEARCH("A",AG7)))</formula>
    </cfRule>
    <cfRule type="containsText" dxfId="709" priority="721" operator="containsText" text="D">
      <formula>NOT(ISERROR(SEARCH("D",AG7)))</formula>
    </cfRule>
    <cfRule type="containsText" dxfId="708" priority="722" operator="containsText" text="A">
      <formula>NOT(ISERROR(SEARCH("A",AG7)))</formula>
    </cfRule>
    <cfRule type="containsText" dxfId="707" priority="1321" operator="containsText" text="D">
      <formula>NOT(ISERROR(SEARCH("D",AG7)))</formula>
    </cfRule>
    <cfRule type="containsText" dxfId="706" priority="1322" operator="containsText" text="A">
      <formula>NOT(ISERROR(SEARCH("A",AG7)))</formula>
    </cfRule>
  </conditionalFormatting>
  <conditionalFormatting sqref="X55:X65">
    <cfRule type="containsText" dxfId="705" priority="1319" operator="containsText" text="D">
      <formula>NOT(ISERROR(SEARCH("D",X55)))</formula>
    </cfRule>
    <cfRule type="containsText" dxfId="704" priority="1320" operator="containsText" text="A">
      <formula>NOT(ISERROR(SEARCH("A",X55)))</formula>
    </cfRule>
  </conditionalFormatting>
  <conditionalFormatting sqref="Z57:Z65">
    <cfRule type="containsText" dxfId="703" priority="61" operator="containsText" text="D">
      <formula>NOT(ISERROR(SEARCH("D",Z57)))</formula>
    </cfRule>
    <cfRule type="containsText" dxfId="702" priority="62" operator="containsText" text="A">
      <formula>NOT(ISERROR(SEARCH("A",Z57)))</formula>
    </cfRule>
    <cfRule type="containsText" dxfId="701" priority="191" operator="containsText" text="D">
      <formula>NOT(ISERROR(SEARCH("D",Z57)))</formula>
    </cfRule>
    <cfRule type="containsText" dxfId="700" priority="192" operator="containsText" text="A">
      <formula>NOT(ISERROR(SEARCH("A",Z57)))</formula>
    </cfRule>
    <cfRule type="containsText" dxfId="699" priority="319" operator="containsText" text="D">
      <formula>NOT(ISERROR(SEARCH("D",Z57)))</formula>
    </cfRule>
    <cfRule type="containsText" dxfId="698" priority="320" operator="containsText" text="A">
      <formula>NOT(ISERROR(SEARCH("A",Z57)))</formula>
    </cfRule>
    <cfRule type="containsText" dxfId="697" priority="459" operator="containsText" text="D">
      <formula>NOT(ISERROR(SEARCH("D",Z57)))</formula>
    </cfRule>
    <cfRule type="containsText" dxfId="696" priority="460" operator="containsText" text="A">
      <formula>NOT(ISERROR(SEARCH("A",Z57)))</formula>
    </cfRule>
    <cfRule type="containsText" dxfId="695" priority="563" operator="containsText" text="D">
      <formula>NOT(ISERROR(SEARCH("D",Z57)))</formula>
    </cfRule>
    <cfRule type="containsText" dxfId="694" priority="564" operator="containsText" text="A">
      <formula>NOT(ISERROR(SEARCH("A",Z57)))</formula>
    </cfRule>
    <cfRule type="containsText" dxfId="693" priority="719" operator="containsText" text="D">
      <formula>NOT(ISERROR(SEARCH("D",Z57)))</formula>
    </cfRule>
    <cfRule type="containsText" dxfId="692" priority="720" operator="containsText" text="A">
      <formula>NOT(ISERROR(SEARCH("A",Z57)))</formula>
    </cfRule>
    <cfRule type="containsText" dxfId="691" priority="1317" operator="containsText" text="D">
      <formula>NOT(ISERROR(SEARCH("D",Z57)))</formula>
    </cfRule>
    <cfRule type="containsText" dxfId="690" priority="1318" operator="containsText" text="A">
      <formula>NOT(ISERROR(SEARCH("A",Z57)))</formula>
    </cfRule>
  </conditionalFormatting>
  <conditionalFormatting sqref="AB58:AB65">
    <cfRule type="containsText" dxfId="689" priority="189" operator="containsText" text="D">
      <formula>NOT(ISERROR(SEARCH("D",AB58)))</formula>
    </cfRule>
    <cfRule type="containsText" dxfId="688" priority="190" operator="containsText" text="A">
      <formula>NOT(ISERROR(SEARCH("A",AB58)))</formula>
    </cfRule>
    <cfRule type="containsText" dxfId="687" priority="317" operator="containsText" text="D">
      <formula>NOT(ISERROR(SEARCH("D",AB58)))</formula>
    </cfRule>
    <cfRule type="containsText" dxfId="686" priority="318" operator="containsText" text="A">
      <formula>NOT(ISERROR(SEARCH("A",AB58)))</formula>
    </cfRule>
    <cfRule type="containsText" dxfId="685" priority="457" operator="containsText" text="D">
      <formula>NOT(ISERROR(SEARCH("D",AB58)))</formula>
    </cfRule>
    <cfRule type="containsText" dxfId="684" priority="458" operator="containsText" text="A">
      <formula>NOT(ISERROR(SEARCH("A",AB58)))</formula>
    </cfRule>
    <cfRule type="containsText" dxfId="683" priority="561" operator="containsText" text="D">
      <formula>NOT(ISERROR(SEARCH("D",AB58)))</formula>
    </cfRule>
    <cfRule type="containsText" dxfId="682" priority="562" operator="containsText" text="A">
      <formula>NOT(ISERROR(SEARCH("A",AB58)))</formula>
    </cfRule>
    <cfRule type="containsText" dxfId="681" priority="717" operator="containsText" text="D">
      <formula>NOT(ISERROR(SEARCH("D",AB58)))</formula>
    </cfRule>
    <cfRule type="containsText" dxfId="680" priority="718" operator="containsText" text="A">
      <formula>NOT(ISERROR(SEARCH("A",AB58)))</formula>
    </cfRule>
    <cfRule type="containsText" dxfId="679" priority="1315" operator="containsText" text="D">
      <formula>NOT(ISERROR(SEARCH("D",AB58)))</formula>
    </cfRule>
    <cfRule type="containsText" dxfId="678" priority="1316" operator="containsText" text="A">
      <formula>NOT(ISERROR(SEARCH("A",AB58)))</formula>
    </cfRule>
  </conditionalFormatting>
  <conditionalFormatting sqref="AD59:AD65">
    <cfRule type="containsText" dxfId="677" priority="187" operator="containsText" text="D">
      <formula>NOT(ISERROR(SEARCH("D",AD59)))</formula>
    </cfRule>
    <cfRule type="containsText" dxfId="676" priority="188" operator="containsText" text="A">
      <formula>NOT(ISERROR(SEARCH("A",AD59)))</formula>
    </cfRule>
    <cfRule type="containsText" dxfId="675" priority="315" operator="containsText" text="D">
      <formula>NOT(ISERROR(SEARCH("D",AD59)))</formula>
    </cfRule>
    <cfRule type="containsText" dxfId="674" priority="316" operator="containsText" text="A">
      <formula>NOT(ISERROR(SEARCH("A",AD59)))</formula>
    </cfRule>
    <cfRule type="containsText" dxfId="673" priority="455" operator="containsText" text="D">
      <formula>NOT(ISERROR(SEARCH("D",AD59)))</formula>
    </cfRule>
    <cfRule type="containsText" dxfId="672" priority="456" operator="containsText" text="A">
      <formula>NOT(ISERROR(SEARCH("A",AD59)))</formula>
    </cfRule>
    <cfRule type="containsText" dxfId="671" priority="559" operator="containsText" text="D">
      <formula>NOT(ISERROR(SEARCH("D",AD59)))</formula>
    </cfRule>
    <cfRule type="containsText" dxfId="670" priority="560" operator="containsText" text="A">
      <formula>NOT(ISERROR(SEARCH("A",AD59)))</formula>
    </cfRule>
    <cfRule type="containsText" dxfId="669" priority="715" operator="containsText" text="D">
      <formula>NOT(ISERROR(SEARCH("D",AD59)))</formula>
    </cfRule>
    <cfRule type="containsText" dxfId="668" priority="716" operator="containsText" text="A">
      <formula>NOT(ISERROR(SEARCH("A",AD59)))</formula>
    </cfRule>
    <cfRule type="containsText" dxfId="667" priority="1313" operator="containsText" text="D">
      <formula>NOT(ISERROR(SEARCH("D",AD59)))</formula>
    </cfRule>
    <cfRule type="containsText" dxfId="666" priority="1314" operator="containsText" text="A">
      <formula>NOT(ISERROR(SEARCH("A",AD59)))</formula>
    </cfRule>
  </conditionalFormatting>
  <conditionalFormatting sqref="AF63:AF65">
    <cfRule type="containsText" dxfId="665" priority="185" operator="containsText" text="D">
      <formula>NOT(ISERROR(SEARCH("D",AF63)))</formula>
    </cfRule>
    <cfRule type="containsText" dxfId="664" priority="186" operator="containsText" text="A">
      <formula>NOT(ISERROR(SEARCH("A",AF63)))</formula>
    </cfRule>
    <cfRule type="containsText" dxfId="663" priority="313" operator="containsText" text="D">
      <formula>NOT(ISERROR(SEARCH("D",AF63)))</formula>
    </cfRule>
    <cfRule type="containsText" dxfId="662" priority="314" operator="containsText" text="A">
      <formula>NOT(ISERROR(SEARCH("A",AF63)))</formula>
    </cfRule>
    <cfRule type="containsText" dxfId="661" priority="453" operator="containsText" text="D">
      <formula>NOT(ISERROR(SEARCH("D",AF63)))</formula>
    </cfRule>
    <cfRule type="containsText" dxfId="660" priority="454" operator="containsText" text="A">
      <formula>NOT(ISERROR(SEARCH("A",AF63)))</formula>
    </cfRule>
    <cfRule type="containsText" dxfId="659" priority="557" operator="containsText" text="D">
      <formula>NOT(ISERROR(SEARCH("D",AF63)))</formula>
    </cfRule>
    <cfRule type="containsText" dxfId="658" priority="558" operator="containsText" text="A">
      <formula>NOT(ISERROR(SEARCH("A",AF63)))</formula>
    </cfRule>
    <cfRule type="containsText" dxfId="657" priority="713" operator="containsText" text="D">
      <formula>NOT(ISERROR(SEARCH("D",AF63)))</formula>
    </cfRule>
    <cfRule type="containsText" dxfId="656" priority="714" operator="containsText" text="A">
      <formula>NOT(ISERROR(SEARCH("A",AF63)))</formula>
    </cfRule>
    <cfRule type="containsText" dxfId="655" priority="1311" operator="containsText" text="D">
      <formula>NOT(ISERROR(SEARCH("D",AF63)))</formula>
    </cfRule>
    <cfRule type="containsText" dxfId="654" priority="1312" operator="containsText" text="A">
      <formula>NOT(ISERROR(SEARCH("A",AF63)))</formula>
    </cfRule>
  </conditionalFormatting>
  <conditionalFormatting sqref="Z59:Z65">
    <cfRule type="containsText" dxfId="653" priority="183" operator="containsText" text="D">
      <formula>NOT(ISERROR(SEARCH("D",Z59)))</formula>
    </cfRule>
    <cfRule type="containsText" dxfId="652" priority="184" operator="containsText" text="A">
      <formula>NOT(ISERROR(SEARCH("A",Z59)))</formula>
    </cfRule>
    <cfRule type="containsText" dxfId="651" priority="311" operator="containsText" text="D">
      <formula>NOT(ISERROR(SEARCH("D",Z59)))</formula>
    </cfRule>
    <cfRule type="containsText" dxfId="650" priority="312" operator="containsText" text="A">
      <formula>NOT(ISERROR(SEARCH("A",Z59)))</formula>
    </cfRule>
    <cfRule type="containsText" dxfId="649" priority="451" operator="containsText" text="D">
      <formula>NOT(ISERROR(SEARCH("D",Z59)))</formula>
    </cfRule>
    <cfRule type="containsText" dxfId="648" priority="452" operator="containsText" text="A">
      <formula>NOT(ISERROR(SEARCH("A",Z59)))</formula>
    </cfRule>
    <cfRule type="containsText" dxfId="647" priority="555" operator="containsText" text="D">
      <formula>NOT(ISERROR(SEARCH("D",Z59)))</formula>
    </cfRule>
    <cfRule type="containsText" dxfId="646" priority="556" operator="containsText" text="A">
      <formula>NOT(ISERROR(SEARCH("A",Z59)))</formula>
    </cfRule>
    <cfRule type="containsText" dxfId="645" priority="711" operator="containsText" text="D">
      <formula>NOT(ISERROR(SEARCH("D",Z59)))</formula>
    </cfRule>
    <cfRule type="containsText" dxfId="644" priority="712" operator="containsText" text="A">
      <formula>NOT(ISERROR(SEARCH("A",Z59)))</formula>
    </cfRule>
    <cfRule type="containsText" dxfId="643" priority="1307" operator="containsText" text="D">
      <formula>NOT(ISERROR(SEARCH("D",Z59)))</formula>
    </cfRule>
    <cfRule type="containsText" dxfId="642" priority="1308" operator="containsText" text="A">
      <formula>NOT(ISERROR(SEARCH("A",Z59)))</formula>
    </cfRule>
  </conditionalFormatting>
  <conditionalFormatting sqref="AB63:AB65">
    <cfRule type="containsText" dxfId="641" priority="181" operator="containsText" text="D">
      <formula>NOT(ISERROR(SEARCH("D",AB63)))</formula>
    </cfRule>
    <cfRule type="containsText" dxfId="640" priority="182" operator="containsText" text="A">
      <formula>NOT(ISERROR(SEARCH("A",AB63)))</formula>
    </cfRule>
    <cfRule type="containsText" dxfId="639" priority="309" operator="containsText" text="D">
      <formula>NOT(ISERROR(SEARCH("D",AB63)))</formula>
    </cfRule>
    <cfRule type="containsText" dxfId="638" priority="310" operator="containsText" text="A">
      <formula>NOT(ISERROR(SEARCH("A",AB63)))</formula>
    </cfRule>
    <cfRule type="containsText" dxfId="637" priority="449" operator="containsText" text="D">
      <formula>NOT(ISERROR(SEARCH("D",AB63)))</formula>
    </cfRule>
    <cfRule type="containsText" dxfId="636" priority="450" operator="containsText" text="A">
      <formula>NOT(ISERROR(SEARCH("A",AB63)))</formula>
    </cfRule>
    <cfRule type="containsText" dxfId="635" priority="553" operator="containsText" text="D">
      <formula>NOT(ISERROR(SEARCH("D",AB63)))</formula>
    </cfRule>
    <cfRule type="containsText" dxfId="634" priority="554" operator="containsText" text="A">
      <formula>NOT(ISERROR(SEARCH("A",AB63)))</formula>
    </cfRule>
    <cfRule type="containsText" dxfId="633" priority="709" operator="containsText" text="D">
      <formula>NOT(ISERROR(SEARCH("D",AB63)))</formula>
    </cfRule>
    <cfRule type="containsText" dxfId="632" priority="710" operator="containsText" text="A">
      <formula>NOT(ISERROR(SEARCH("A",AB63)))</formula>
    </cfRule>
    <cfRule type="containsText" dxfId="631" priority="1305" operator="containsText" text="D">
      <formula>NOT(ISERROR(SEARCH("D",AB63)))</formula>
    </cfRule>
    <cfRule type="containsText" dxfId="630" priority="1306" operator="containsText" text="A">
      <formula>NOT(ISERROR(SEARCH("A",AB63)))</formula>
    </cfRule>
  </conditionalFormatting>
  <conditionalFormatting sqref="AH8:AH10">
    <cfRule type="containsText" dxfId="629" priority="155" operator="containsText" text="D">
      <formula>NOT(ISERROR(SEARCH("D",AH8)))</formula>
    </cfRule>
    <cfRule type="containsText" dxfId="628" priority="156" operator="containsText" text="A">
      <formula>NOT(ISERROR(SEARCH("A",AH8)))</formula>
    </cfRule>
    <cfRule type="containsText" dxfId="627" priority="179" operator="containsText" text="D">
      <formula>NOT(ISERROR(SEARCH("D",AH8)))</formula>
    </cfRule>
    <cfRule type="containsText" dxfId="626" priority="180" operator="containsText" text="A">
      <formula>NOT(ISERROR(SEARCH("A",AH8)))</formula>
    </cfRule>
    <cfRule type="containsText" dxfId="625" priority="283" operator="containsText" text="D">
      <formula>NOT(ISERROR(SEARCH("D",AH8)))</formula>
    </cfRule>
    <cfRule type="containsText" dxfId="624" priority="284" operator="containsText" text="A">
      <formula>NOT(ISERROR(SEARCH("A",AH8)))</formula>
    </cfRule>
    <cfRule type="containsText" dxfId="623" priority="307" operator="containsText" text="D">
      <formula>NOT(ISERROR(SEARCH("D",AH8)))</formula>
    </cfRule>
    <cfRule type="containsText" dxfId="622" priority="308" operator="containsText" text="A">
      <formula>NOT(ISERROR(SEARCH("A",AH8)))</formula>
    </cfRule>
    <cfRule type="containsText" dxfId="621" priority="413" operator="containsText" text="D">
      <formula>NOT(ISERROR(SEARCH("D",AH8)))</formula>
    </cfRule>
    <cfRule type="containsText" dxfId="620" priority="414" operator="containsText" text="A">
      <formula>NOT(ISERROR(SEARCH("A",AH8)))</formula>
    </cfRule>
    <cfRule type="containsText" dxfId="619" priority="447" operator="containsText" text="D">
      <formula>NOT(ISERROR(SEARCH("D",AH8)))</formula>
    </cfRule>
    <cfRule type="containsText" dxfId="618" priority="448" operator="containsText" text="A">
      <formula>NOT(ISERROR(SEARCH("A",AH8)))</formula>
    </cfRule>
    <cfRule type="containsText" dxfId="617" priority="527" operator="containsText" text="D">
      <formula>NOT(ISERROR(SEARCH("D",AH8)))</formula>
    </cfRule>
    <cfRule type="containsText" dxfId="616" priority="528" operator="containsText" text="A">
      <formula>NOT(ISERROR(SEARCH("A",AH8)))</formula>
    </cfRule>
    <cfRule type="containsText" dxfId="615" priority="551" operator="containsText" text="D">
      <formula>NOT(ISERROR(SEARCH("D",AH8)))</formula>
    </cfRule>
    <cfRule type="containsText" dxfId="614" priority="552" operator="containsText" text="A">
      <formula>NOT(ISERROR(SEARCH("A",AH8)))</formula>
    </cfRule>
    <cfRule type="containsText" dxfId="613" priority="669" operator="containsText" text="D">
      <formula>NOT(ISERROR(SEARCH("D",AH8)))</formula>
    </cfRule>
    <cfRule type="containsText" dxfId="612" priority="670" operator="containsText" text="A">
      <formula>NOT(ISERROR(SEARCH("A",AH8)))</formula>
    </cfRule>
    <cfRule type="containsText" dxfId="611" priority="707" operator="containsText" text="D">
      <formula>NOT(ISERROR(SEARCH("D",AH8)))</formula>
    </cfRule>
    <cfRule type="containsText" dxfId="610" priority="708" operator="containsText" text="A">
      <formula>NOT(ISERROR(SEARCH("A",AH8)))</formula>
    </cfRule>
    <cfRule type="containsText" dxfId="609" priority="1261" operator="containsText" text="D">
      <formula>NOT(ISERROR(SEARCH("D",AH8)))</formula>
    </cfRule>
    <cfRule type="containsText" dxfId="608" priority="1262" operator="containsText" text="A">
      <formula>NOT(ISERROR(SEARCH("A",AH8)))</formula>
    </cfRule>
    <cfRule type="containsText" dxfId="607" priority="1303" operator="containsText" text="D">
      <formula>NOT(ISERROR(SEARCH("D",AH8)))</formula>
    </cfRule>
    <cfRule type="containsText" dxfId="606" priority="1304" operator="containsText" text="A">
      <formula>NOT(ISERROR(SEARCH("A",AH8)))</formula>
    </cfRule>
  </conditionalFormatting>
  <conditionalFormatting sqref="AH11:AH13">
    <cfRule type="containsText" dxfId="605" priority="151" operator="containsText" text="D">
      <formula>NOT(ISERROR(SEARCH("D",AH11)))</formula>
    </cfRule>
    <cfRule type="containsText" dxfId="604" priority="152" operator="containsText" text="A">
      <formula>NOT(ISERROR(SEARCH("A",AH11)))</formula>
    </cfRule>
    <cfRule type="containsText" dxfId="603" priority="175" operator="containsText" text="D">
      <formula>NOT(ISERROR(SEARCH("D",AH11)))</formula>
    </cfRule>
    <cfRule type="containsText" dxfId="602" priority="176" operator="containsText" text="A">
      <formula>NOT(ISERROR(SEARCH("A",AH11)))</formula>
    </cfRule>
    <cfRule type="containsText" dxfId="601" priority="279" operator="containsText" text="D">
      <formula>NOT(ISERROR(SEARCH("D",AH11)))</formula>
    </cfRule>
    <cfRule type="containsText" dxfId="600" priority="280" operator="containsText" text="A">
      <formula>NOT(ISERROR(SEARCH("A",AH11)))</formula>
    </cfRule>
    <cfRule type="containsText" dxfId="599" priority="303" operator="containsText" text="D">
      <formula>NOT(ISERROR(SEARCH("D",AH11)))</formula>
    </cfRule>
    <cfRule type="containsText" dxfId="598" priority="304" operator="containsText" text="A">
      <formula>NOT(ISERROR(SEARCH("A",AH11)))</formula>
    </cfRule>
    <cfRule type="containsText" dxfId="597" priority="409" operator="containsText" text="D">
      <formula>NOT(ISERROR(SEARCH("D",AH11)))</formula>
    </cfRule>
    <cfRule type="containsText" dxfId="596" priority="410" operator="containsText" text="A">
      <formula>NOT(ISERROR(SEARCH("A",AH11)))</formula>
    </cfRule>
    <cfRule type="containsText" dxfId="595" priority="433" operator="containsText" text="D">
      <formula>NOT(ISERROR(SEARCH("D",AH11)))</formula>
    </cfRule>
    <cfRule type="containsText" dxfId="594" priority="434" operator="containsText" text="A">
      <formula>NOT(ISERROR(SEARCH("A",AH11)))</formula>
    </cfRule>
    <cfRule type="containsText" dxfId="593" priority="523" operator="containsText" text="D">
      <formula>NOT(ISERROR(SEARCH("D",AH11)))</formula>
    </cfRule>
    <cfRule type="containsText" dxfId="592" priority="524" operator="containsText" text="A">
      <formula>NOT(ISERROR(SEARCH("A",AH11)))</formula>
    </cfRule>
    <cfRule type="containsText" dxfId="591" priority="547" operator="containsText" text="D">
      <formula>NOT(ISERROR(SEARCH("D",AH11)))</formula>
    </cfRule>
    <cfRule type="containsText" dxfId="590" priority="548" operator="containsText" text="A">
      <formula>NOT(ISERROR(SEARCH("A",AH11)))</formula>
    </cfRule>
    <cfRule type="containsText" dxfId="589" priority="665" operator="containsText" text="D">
      <formula>NOT(ISERROR(SEARCH("D",AH11)))</formula>
    </cfRule>
    <cfRule type="containsText" dxfId="588" priority="666" operator="containsText" text="A">
      <formula>NOT(ISERROR(SEARCH("A",AH11)))</formula>
    </cfRule>
    <cfRule type="containsText" dxfId="587" priority="689" operator="containsText" text="D">
      <formula>NOT(ISERROR(SEARCH("D",AH11)))</formula>
    </cfRule>
    <cfRule type="containsText" dxfId="586" priority="690" operator="containsText" text="A">
      <formula>NOT(ISERROR(SEARCH("A",AH11)))</formula>
    </cfRule>
    <cfRule type="containsText" dxfId="585" priority="1257" operator="containsText" text="D">
      <formula>NOT(ISERROR(SEARCH("D",AH11)))</formula>
    </cfRule>
    <cfRule type="containsText" dxfId="584" priority="1258" operator="containsText" text="A">
      <formula>NOT(ISERROR(SEARCH("A",AH11)))</formula>
    </cfRule>
    <cfRule type="containsText" dxfId="583" priority="1281" operator="containsText" text="D">
      <formula>NOT(ISERROR(SEARCH("D",AH11)))</formula>
    </cfRule>
    <cfRule type="containsText" dxfId="582" priority="1282" operator="containsText" text="A">
      <formula>NOT(ISERROR(SEARCH("A",AH11)))</formula>
    </cfRule>
  </conditionalFormatting>
  <conditionalFormatting sqref="AH14:AH16">
    <cfRule type="containsText" dxfId="581" priority="147" operator="containsText" text="D">
      <formula>NOT(ISERROR(SEARCH("D",AH14)))</formula>
    </cfRule>
    <cfRule type="containsText" dxfId="580" priority="148" operator="containsText" text="A">
      <formula>NOT(ISERROR(SEARCH("A",AH14)))</formula>
    </cfRule>
    <cfRule type="containsText" dxfId="579" priority="171" operator="containsText" text="D">
      <formula>NOT(ISERROR(SEARCH("D",AH14)))</formula>
    </cfRule>
    <cfRule type="containsText" dxfId="578" priority="172" operator="containsText" text="A">
      <formula>NOT(ISERROR(SEARCH("A",AH14)))</formula>
    </cfRule>
    <cfRule type="containsText" dxfId="577" priority="275" operator="containsText" text="D">
      <formula>NOT(ISERROR(SEARCH("D",AH14)))</formula>
    </cfRule>
    <cfRule type="containsText" dxfId="576" priority="276" operator="containsText" text="A">
      <formula>NOT(ISERROR(SEARCH("A",AH14)))</formula>
    </cfRule>
    <cfRule type="containsText" dxfId="575" priority="299" operator="containsText" text="D">
      <formula>NOT(ISERROR(SEARCH("D",AH14)))</formula>
    </cfRule>
    <cfRule type="containsText" dxfId="574" priority="300" operator="containsText" text="A">
      <formula>NOT(ISERROR(SEARCH("A",AH14)))</formula>
    </cfRule>
    <cfRule type="containsText" dxfId="573" priority="405" operator="containsText" text="D">
      <formula>NOT(ISERROR(SEARCH("D",AH14)))</formula>
    </cfRule>
    <cfRule type="containsText" dxfId="572" priority="406" operator="containsText" text="A">
      <formula>NOT(ISERROR(SEARCH("A",AH14)))</formula>
    </cfRule>
    <cfRule type="containsText" dxfId="571" priority="429" operator="containsText" text="D">
      <formula>NOT(ISERROR(SEARCH("D",AH14)))</formula>
    </cfRule>
    <cfRule type="containsText" dxfId="570" priority="430" operator="containsText" text="A">
      <formula>NOT(ISERROR(SEARCH("A",AH14)))</formula>
    </cfRule>
    <cfRule type="containsText" dxfId="569" priority="519" operator="containsText" text="D">
      <formula>NOT(ISERROR(SEARCH("D",AH14)))</formula>
    </cfRule>
    <cfRule type="containsText" dxfId="568" priority="520" operator="containsText" text="A">
      <formula>NOT(ISERROR(SEARCH("A",AH14)))</formula>
    </cfRule>
    <cfRule type="containsText" dxfId="567" priority="543" operator="containsText" text="D">
      <formula>NOT(ISERROR(SEARCH("D",AH14)))</formula>
    </cfRule>
    <cfRule type="containsText" dxfId="566" priority="544" operator="containsText" text="A">
      <formula>NOT(ISERROR(SEARCH("A",AH14)))</formula>
    </cfRule>
    <cfRule type="containsText" dxfId="565" priority="661" operator="containsText" text="D">
      <formula>NOT(ISERROR(SEARCH("D",AH14)))</formula>
    </cfRule>
    <cfRule type="containsText" dxfId="564" priority="662" operator="containsText" text="A">
      <formula>NOT(ISERROR(SEARCH("A",AH14)))</formula>
    </cfRule>
    <cfRule type="containsText" dxfId="563" priority="685" operator="containsText" text="D">
      <formula>NOT(ISERROR(SEARCH("D",AH14)))</formula>
    </cfRule>
    <cfRule type="containsText" dxfId="562" priority="686" operator="containsText" text="A">
      <formula>NOT(ISERROR(SEARCH("A",AH14)))</formula>
    </cfRule>
    <cfRule type="containsText" dxfId="561" priority="1253" operator="containsText" text="D">
      <formula>NOT(ISERROR(SEARCH("D",AH14)))</formula>
    </cfRule>
    <cfRule type="containsText" dxfId="560" priority="1254" operator="containsText" text="A">
      <formula>NOT(ISERROR(SEARCH("A",AH14)))</formula>
    </cfRule>
    <cfRule type="containsText" dxfId="559" priority="1277" operator="containsText" text="D">
      <formula>NOT(ISERROR(SEARCH("D",AH14)))</formula>
    </cfRule>
    <cfRule type="containsText" dxfId="558" priority="1278" operator="containsText" text="A">
      <formula>NOT(ISERROR(SEARCH("A",AH14)))</formula>
    </cfRule>
  </conditionalFormatting>
  <conditionalFormatting sqref="AH17:AH19">
    <cfRule type="containsText" dxfId="557" priority="167" operator="containsText" text="D">
      <formula>NOT(ISERROR(SEARCH("D",AH17)))</formula>
    </cfRule>
    <cfRule type="containsText" dxfId="556" priority="168" operator="containsText" text="A">
      <formula>NOT(ISERROR(SEARCH("A",AH17)))</formula>
    </cfRule>
    <cfRule type="containsText" dxfId="555" priority="295" operator="containsText" text="D">
      <formula>NOT(ISERROR(SEARCH("D",AH17)))</formula>
    </cfRule>
    <cfRule type="containsText" dxfId="554" priority="296" operator="containsText" text="A">
      <formula>NOT(ISERROR(SEARCH("A",AH17)))</formula>
    </cfRule>
    <cfRule type="containsText" dxfId="553" priority="425" operator="containsText" text="D">
      <formula>NOT(ISERROR(SEARCH("D",AH17)))</formula>
    </cfRule>
    <cfRule type="containsText" dxfId="552" priority="426" operator="containsText" text="A">
      <formula>NOT(ISERROR(SEARCH("A",AH17)))</formula>
    </cfRule>
    <cfRule type="containsText" dxfId="551" priority="539" operator="containsText" text="D">
      <formula>NOT(ISERROR(SEARCH("D",AH17)))</formula>
    </cfRule>
    <cfRule type="containsText" dxfId="550" priority="540" operator="containsText" text="A">
      <formula>NOT(ISERROR(SEARCH("A",AH17)))</formula>
    </cfRule>
    <cfRule type="containsText" dxfId="549" priority="681" operator="containsText" text="D">
      <formula>NOT(ISERROR(SEARCH("D",AH17)))</formula>
    </cfRule>
    <cfRule type="containsText" dxfId="548" priority="682" operator="containsText" text="A">
      <formula>NOT(ISERROR(SEARCH("A",AH17)))</formula>
    </cfRule>
    <cfRule type="containsText" dxfId="547" priority="1273" operator="containsText" text="D">
      <formula>NOT(ISERROR(SEARCH("D",AH17)))</formula>
    </cfRule>
    <cfRule type="containsText" dxfId="546" priority="1274" operator="containsText" text="A">
      <formula>NOT(ISERROR(SEARCH("A",AH17)))</formula>
    </cfRule>
  </conditionalFormatting>
  <conditionalFormatting sqref="AF60:AF62">
    <cfRule type="containsText" dxfId="545" priority="161" operator="containsText" text="D">
      <formula>NOT(ISERROR(SEARCH("D",AF60)))</formula>
    </cfRule>
    <cfRule type="containsText" dxfId="544" priority="162" operator="containsText" text="A">
      <formula>NOT(ISERROR(SEARCH("A",AF60)))</formula>
    </cfRule>
    <cfRule type="containsText" dxfId="543" priority="289" operator="containsText" text="D">
      <formula>NOT(ISERROR(SEARCH("D",AF60)))</formula>
    </cfRule>
    <cfRule type="containsText" dxfId="542" priority="290" operator="containsText" text="A">
      <formula>NOT(ISERROR(SEARCH("A",AF60)))</formula>
    </cfRule>
    <cfRule type="containsText" dxfId="541" priority="421" operator="containsText" text="D">
      <formula>NOT(ISERROR(SEARCH("D",AF60)))</formula>
    </cfRule>
    <cfRule type="containsText" dxfId="540" priority="422" operator="containsText" text="A">
      <formula>NOT(ISERROR(SEARCH("A",AF60)))</formula>
    </cfRule>
    <cfRule type="containsText" dxfId="539" priority="533" operator="containsText" text="D">
      <formula>NOT(ISERROR(SEARCH("D",AF60)))</formula>
    </cfRule>
    <cfRule type="containsText" dxfId="538" priority="534" operator="containsText" text="A">
      <formula>NOT(ISERROR(SEARCH("A",AF60)))</formula>
    </cfRule>
    <cfRule type="containsText" dxfId="537" priority="677" operator="containsText" text="D">
      <formula>NOT(ISERROR(SEARCH("D",AF60)))</formula>
    </cfRule>
    <cfRule type="containsText" dxfId="536" priority="678" operator="containsText" text="A">
      <formula>NOT(ISERROR(SEARCH("A",AF60)))</formula>
    </cfRule>
    <cfRule type="containsText" dxfId="535" priority="1269" operator="containsText" text="D">
      <formula>NOT(ISERROR(SEARCH("D",AF60)))</formula>
    </cfRule>
    <cfRule type="containsText" dxfId="534" priority="1270" operator="containsText" text="A">
      <formula>NOT(ISERROR(SEARCH("A",AF60)))</formula>
    </cfRule>
  </conditionalFormatting>
  <conditionalFormatting sqref="AB60:AB62">
    <cfRule type="containsText" dxfId="533" priority="159" operator="containsText" text="D">
      <formula>NOT(ISERROR(SEARCH("D",AB60)))</formula>
    </cfRule>
    <cfRule type="containsText" dxfId="532" priority="160" operator="containsText" text="A">
      <formula>NOT(ISERROR(SEARCH("A",AB60)))</formula>
    </cfRule>
    <cfRule type="containsText" dxfId="531" priority="287" operator="containsText" text="D">
      <formula>NOT(ISERROR(SEARCH("D",AB60)))</formula>
    </cfRule>
    <cfRule type="containsText" dxfId="530" priority="288" operator="containsText" text="A">
      <formula>NOT(ISERROR(SEARCH("A",AB60)))</formula>
    </cfRule>
    <cfRule type="containsText" dxfId="529" priority="419" operator="containsText" text="D">
      <formula>NOT(ISERROR(SEARCH("D",AB60)))</formula>
    </cfRule>
    <cfRule type="containsText" dxfId="528" priority="420" operator="containsText" text="A">
      <formula>NOT(ISERROR(SEARCH("A",AB60)))</formula>
    </cfRule>
    <cfRule type="containsText" dxfId="527" priority="531" operator="containsText" text="D">
      <formula>NOT(ISERROR(SEARCH("D",AB60)))</formula>
    </cfRule>
    <cfRule type="containsText" dxfId="526" priority="532" operator="containsText" text="A">
      <formula>NOT(ISERROR(SEARCH("A",AB60)))</formula>
    </cfRule>
    <cfRule type="containsText" dxfId="525" priority="675" operator="containsText" text="D">
      <formula>NOT(ISERROR(SEARCH("D",AB60)))</formula>
    </cfRule>
    <cfRule type="containsText" dxfId="524" priority="676" operator="containsText" text="A">
      <formula>NOT(ISERROR(SEARCH("A",AB60)))</formula>
    </cfRule>
    <cfRule type="containsText" dxfId="523" priority="1267" operator="containsText" text="D">
      <formula>NOT(ISERROR(SEARCH("D",AB60)))</formula>
    </cfRule>
    <cfRule type="containsText" dxfId="522" priority="1268" operator="containsText" text="A">
      <formula>NOT(ISERROR(SEARCH("A",AB60)))</formula>
    </cfRule>
  </conditionalFormatting>
  <conditionalFormatting sqref="X78:AB78">
    <cfRule type="containsText" dxfId="521" priority="1201" operator="containsText" text="D">
      <formula>NOT(ISERROR(SEARCH("D",X78)))</formula>
    </cfRule>
    <cfRule type="containsText" dxfId="520" priority="1202" operator="containsText" text="A">
      <formula>NOT(ISERROR(SEARCH("A",X78)))</formula>
    </cfRule>
    <cfRule type="containsText" dxfId="519" priority="1203" operator="containsText" text="D">
      <formula>NOT(ISERROR(SEARCH("D",X78)))</formula>
    </cfRule>
    <cfRule type="containsText" dxfId="518" priority="1204" operator="containsText" text="A">
      <formula>NOT(ISERROR(SEARCH("A",X78)))</formula>
    </cfRule>
  </conditionalFormatting>
  <conditionalFormatting sqref="AB78:AF78">
    <cfRule type="containsText" dxfId="517" priority="1189" operator="containsText" text="D">
      <formula>NOT(ISERROR(SEARCH("D",AB78)))</formula>
    </cfRule>
    <cfRule type="containsText" dxfId="516" priority="1190" operator="containsText" text="A">
      <formula>NOT(ISERROR(SEARCH("A",AB78)))</formula>
    </cfRule>
    <cfRule type="containsText" dxfId="515" priority="1191" operator="containsText" text="D">
      <formula>NOT(ISERROR(SEARCH("D",AB78)))</formula>
    </cfRule>
    <cfRule type="containsText" dxfId="514" priority="1192" operator="containsText" text="A">
      <formula>NOT(ISERROR(SEARCH("A",AB78)))</formula>
    </cfRule>
    <cfRule type="containsText" dxfId="513" priority="1193" operator="containsText" text="D">
      <formula>NOT(ISERROR(SEARCH("D",AB78)))</formula>
    </cfRule>
    <cfRule type="containsText" dxfId="512" priority="1194" operator="containsText" text="A">
      <formula>NOT(ISERROR(SEARCH("A",AB78)))</formula>
    </cfRule>
    <cfRule type="containsText" dxfId="511" priority="1195" operator="containsText" text="D">
      <formula>NOT(ISERROR(SEARCH("D",AB78)))</formula>
    </cfRule>
    <cfRule type="containsText" dxfId="510" priority="1196" operator="containsText" text="A">
      <formula>NOT(ISERROR(SEARCH("A",AB78)))</formula>
    </cfRule>
  </conditionalFormatting>
  <conditionalFormatting sqref="X68:AB68">
    <cfRule type="containsText" dxfId="509" priority="1089" operator="containsText" text="D">
      <formula>NOT(ISERROR(SEARCH("D",X68)))</formula>
    </cfRule>
    <cfRule type="containsText" dxfId="508" priority="1090" operator="containsText" text="A">
      <formula>NOT(ISERROR(SEARCH("A",X68)))</formula>
    </cfRule>
    <cfRule type="containsText" dxfId="507" priority="1091" operator="containsText" text="D">
      <formula>NOT(ISERROR(SEARCH("D",X68)))</formula>
    </cfRule>
    <cfRule type="containsText" dxfId="506" priority="1092" operator="containsText" text="A">
      <formula>NOT(ISERROR(SEARCH("A",X68)))</formula>
    </cfRule>
  </conditionalFormatting>
  <conditionalFormatting sqref="V75:Z75">
    <cfRule type="containsText" dxfId="505" priority="1071" operator="containsText" text="D">
      <formula>NOT(ISERROR(SEARCH("D",V75)))</formula>
    </cfRule>
    <cfRule type="containsText" dxfId="504" priority="1072" operator="containsText" text="A">
      <formula>NOT(ISERROR(SEARCH("A",V75)))</formula>
    </cfRule>
    <cfRule type="containsText" dxfId="503" priority="1073" operator="containsText" text="D">
      <formula>NOT(ISERROR(SEARCH("D",V75)))</formula>
    </cfRule>
    <cfRule type="containsText" dxfId="502" priority="1074" operator="containsText" text="A">
      <formula>NOT(ISERROR(SEARCH("A",V75)))</formula>
    </cfRule>
    <cfRule type="containsText" dxfId="501" priority="1077" operator="containsText" text="D">
      <formula>NOT(ISERROR(SEARCH("D",V75)))</formula>
    </cfRule>
    <cfRule type="containsText" dxfId="500" priority="1078" operator="containsText" text="A">
      <formula>NOT(ISERROR(SEARCH("A",V75)))</formula>
    </cfRule>
    <cfRule type="containsText" dxfId="499" priority="1081" operator="containsText" text="D">
      <formula>NOT(ISERROR(SEARCH("D",V75)))</formula>
    </cfRule>
    <cfRule type="containsText" dxfId="498" priority="1082" operator="containsText" text="A">
      <formula>NOT(ISERROR(SEARCH("A",V75)))</formula>
    </cfRule>
    <cfRule type="containsText" dxfId="497" priority="1087" operator="containsText" text="D">
      <formula>NOT(ISERROR(SEARCH("D",V75)))</formula>
    </cfRule>
    <cfRule type="containsText" dxfId="496" priority="1088" operator="containsText" text="A">
      <formula>NOT(ISERROR(SEARCH("A",V75)))</formula>
    </cfRule>
  </conditionalFormatting>
  <conditionalFormatting sqref="X71:AB71">
    <cfRule type="containsText" dxfId="495" priority="1063" operator="containsText" text="D">
      <formula>NOT(ISERROR(SEARCH("D",X71)))</formula>
    </cfRule>
    <cfRule type="containsText" dxfId="494" priority="1064" operator="containsText" text="A">
      <formula>NOT(ISERROR(SEARCH("A",X71)))</formula>
    </cfRule>
    <cfRule type="containsText" dxfId="493" priority="1065" operator="containsText" text="D">
      <formula>NOT(ISERROR(SEARCH("D",X71)))</formula>
    </cfRule>
    <cfRule type="containsText" dxfId="492" priority="1066" operator="containsText" text="A">
      <formula>NOT(ISERROR(SEARCH("A",X71)))</formula>
    </cfRule>
  </conditionalFormatting>
  <conditionalFormatting sqref="AA66:AE66">
    <cfRule type="containsText" dxfId="491" priority="1055" operator="containsText" text="D">
      <formula>NOT(ISERROR(SEARCH("D",AA66)))</formula>
    </cfRule>
    <cfRule type="containsText" dxfId="490" priority="1056" operator="containsText" text="A">
      <formula>NOT(ISERROR(SEARCH("A",AA66)))</formula>
    </cfRule>
    <cfRule type="containsText" dxfId="489" priority="1057" operator="containsText" text="D">
      <formula>NOT(ISERROR(SEARCH("D",AA66)))</formula>
    </cfRule>
    <cfRule type="containsText" dxfId="488" priority="1058" operator="containsText" text="A">
      <formula>NOT(ISERROR(SEARCH("A",AA66)))</formula>
    </cfRule>
    <cfRule type="containsText" dxfId="487" priority="1059" operator="containsText" text="D">
      <formula>NOT(ISERROR(SEARCH("D",AA66)))</formula>
    </cfRule>
    <cfRule type="containsText" dxfId="486" priority="1060" operator="containsText" text="A">
      <formula>NOT(ISERROR(SEARCH("A",AA66)))</formula>
    </cfRule>
    <cfRule type="containsText" dxfId="485" priority="1061" operator="containsText" text="D">
      <formula>NOT(ISERROR(SEARCH("D",AA66)))</formula>
    </cfRule>
    <cfRule type="containsText" dxfId="484" priority="1062" operator="containsText" text="A">
      <formula>NOT(ISERROR(SEARCH("A",AA66)))</formula>
    </cfRule>
  </conditionalFormatting>
  <conditionalFormatting sqref="AB68:AF68">
    <cfRule type="containsText" dxfId="483" priority="1047" operator="containsText" text="D">
      <formula>NOT(ISERROR(SEARCH("D",AB68)))</formula>
    </cfRule>
    <cfRule type="containsText" dxfId="482" priority="1048" operator="containsText" text="A">
      <formula>NOT(ISERROR(SEARCH("A",AB68)))</formula>
    </cfRule>
    <cfRule type="containsText" dxfId="481" priority="1049" operator="containsText" text="D">
      <formula>NOT(ISERROR(SEARCH("D",AB68)))</formula>
    </cfRule>
    <cfRule type="containsText" dxfId="480" priority="1050" operator="containsText" text="A">
      <formula>NOT(ISERROR(SEARCH("A",AB68)))</formula>
    </cfRule>
    <cfRule type="containsText" dxfId="479" priority="1051" operator="containsText" text="D">
      <formula>NOT(ISERROR(SEARCH("D",AB68)))</formula>
    </cfRule>
    <cfRule type="containsText" dxfId="478" priority="1052" operator="containsText" text="A">
      <formula>NOT(ISERROR(SEARCH("A",AB68)))</formula>
    </cfRule>
    <cfRule type="containsText" dxfId="477" priority="1053" operator="containsText" text="D">
      <formula>NOT(ISERROR(SEARCH("D",AB68)))</formula>
    </cfRule>
    <cfRule type="containsText" dxfId="476" priority="1054" operator="containsText" text="A">
      <formula>NOT(ISERROR(SEARCH("A",AB68)))</formula>
    </cfRule>
  </conditionalFormatting>
  <conditionalFormatting sqref="X74:AB74">
    <cfRule type="containsText" dxfId="475" priority="1039" operator="containsText" text="D">
      <formula>NOT(ISERROR(SEARCH("D",X74)))</formula>
    </cfRule>
    <cfRule type="containsText" dxfId="474" priority="1040" operator="containsText" text="A">
      <formula>NOT(ISERROR(SEARCH("A",X74)))</formula>
    </cfRule>
    <cfRule type="containsText" dxfId="473" priority="1041" operator="containsText" text="D">
      <formula>NOT(ISERROR(SEARCH("D",X74)))</formula>
    </cfRule>
    <cfRule type="containsText" dxfId="472" priority="1042" operator="containsText" text="A">
      <formula>NOT(ISERROR(SEARCH("A",X74)))</formula>
    </cfRule>
  </conditionalFormatting>
  <conditionalFormatting sqref="Z66:AD66">
    <cfRule type="containsText" dxfId="471" priority="1031" operator="containsText" text="D">
      <formula>NOT(ISERROR(SEARCH("D",Z66)))</formula>
    </cfRule>
    <cfRule type="containsText" dxfId="470" priority="1032" operator="containsText" text="A">
      <formula>NOT(ISERROR(SEARCH("A",Z66)))</formula>
    </cfRule>
    <cfRule type="containsText" dxfId="469" priority="1033" operator="containsText" text="D">
      <formula>NOT(ISERROR(SEARCH("D",Z66)))</formula>
    </cfRule>
    <cfRule type="containsText" dxfId="468" priority="1034" operator="containsText" text="A">
      <formula>NOT(ISERROR(SEARCH("A",Z66)))</formula>
    </cfRule>
    <cfRule type="containsText" dxfId="467" priority="1035" operator="containsText" text="D">
      <formula>NOT(ISERROR(SEARCH("D",Z66)))</formula>
    </cfRule>
    <cfRule type="containsText" dxfId="466" priority="1036" operator="containsText" text="A">
      <formula>NOT(ISERROR(SEARCH("A",Z66)))</formula>
    </cfRule>
    <cfRule type="containsText" dxfId="465" priority="1037" operator="containsText" text="D">
      <formula>NOT(ISERROR(SEARCH("D",Z66)))</formula>
    </cfRule>
    <cfRule type="containsText" dxfId="464" priority="1038" operator="containsText" text="A">
      <formula>NOT(ISERROR(SEARCH("A",Z66)))</formula>
    </cfRule>
  </conditionalFormatting>
  <conditionalFormatting sqref="AA69:AE69">
    <cfRule type="containsText" dxfId="463" priority="1023" operator="containsText" text="D">
      <formula>NOT(ISERROR(SEARCH("D",AA69)))</formula>
    </cfRule>
    <cfRule type="containsText" dxfId="462" priority="1024" operator="containsText" text="A">
      <formula>NOT(ISERROR(SEARCH("A",AA69)))</formula>
    </cfRule>
    <cfRule type="containsText" dxfId="461" priority="1025" operator="containsText" text="D">
      <formula>NOT(ISERROR(SEARCH("D",AA69)))</formula>
    </cfRule>
    <cfRule type="containsText" dxfId="460" priority="1026" operator="containsText" text="A">
      <formula>NOT(ISERROR(SEARCH("A",AA69)))</formula>
    </cfRule>
    <cfRule type="containsText" dxfId="459" priority="1027" operator="containsText" text="D">
      <formula>NOT(ISERROR(SEARCH("D",AA69)))</formula>
    </cfRule>
    <cfRule type="containsText" dxfId="458" priority="1028" operator="containsText" text="A">
      <formula>NOT(ISERROR(SEARCH("A",AA69)))</formula>
    </cfRule>
    <cfRule type="containsText" dxfId="457" priority="1029" operator="containsText" text="D">
      <formula>NOT(ISERROR(SEARCH("D",AA69)))</formula>
    </cfRule>
    <cfRule type="containsText" dxfId="456" priority="1030" operator="containsText" text="A">
      <formula>NOT(ISERROR(SEARCH("A",AA69)))</formula>
    </cfRule>
  </conditionalFormatting>
  <conditionalFormatting sqref="AB71:AF71">
    <cfRule type="containsText" dxfId="455" priority="1015" operator="containsText" text="D">
      <formula>NOT(ISERROR(SEARCH("D",AB71)))</formula>
    </cfRule>
    <cfRule type="containsText" dxfId="454" priority="1016" operator="containsText" text="A">
      <formula>NOT(ISERROR(SEARCH("A",AB71)))</formula>
    </cfRule>
    <cfRule type="containsText" dxfId="453" priority="1017" operator="containsText" text="D">
      <formula>NOT(ISERROR(SEARCH("D",AB71)))</formula>
    </cfRule>
    <cfRule type="containsText" dxfId="452" priority="1018" operator="containsText" text="A">
      <formula>NOT(ISERROR(SEARCH("A",AB71)))</formula>
    </cfRule>
    <cfRule type="containsText" dxfId="451" priority="1019" operator="containsText" text="D">
      <formula>NOT(ISERROR(SEARCH("D",AB71)))</formula>
    </cfRule>
    <cfRule type="containsText" dxfId="450" priority="1020" operator="containsText" text="A">
      <formula>NOT(ISERROR(SEARCH("A",AB71)))</formula>
    </cfRule>
    <cfRule type="containsText" dxfId="449" priority="1021" operator="containsText" text="D">
      <formula>NOT(ISERROR(SEARCH("D",AB71)))</formula>
    </cfRule>
    <cfRule type="containsText" dxfId="448" priority="1022" operator="containsText" text="A">
      <formula>NOT(ISERROR(SEARCH("A",AB71)))</formula>
    </cfRule>
  </conditionalFormatting>
  <conditionalFormatting sqref="T76">
    <cfRule type="containsText" dxfId="447" priority="1013" operator="containsText" text="D">
      <formula>NOT(ISERROR(SEARCH("D",T76)))</formula>
    </cfRule>
    <cfRule type="containsText" dxfId="446" priority="1014" operator="containsText" text="A">
      <formula>NOT(ISERROR(SEARCH("A",T76)))</formula>
    </cfRule>
  </conditionalFormatting>
  <conditionalFormatting sqref="AN8:AP8">
    <cfRule type="containsText" dxfId="445" priority="1011" operator="containsText" text="D">
      <formula>NOT(ISERROR(SEARCH("D",AN8)))</formula>
    </cfRule>
    <cfRule type="containsText" dxfId="444" priority="1012" operator="containsText" text="A">
      <formula>NOT(ISERROR(SEARCH("A",AN8)))</formula>
    </cfRule>
  </conditionalFormatting>
  <conditionalFormatting sqref="AC65:AF65">
    <cfRule type="containsText" dxfId="443" priority="1009" operator="containsText" text="D">
      <formula>NOT(ISERROR(SEARCH("D",AC65)))</formula>
    </cfRule>
    <cfRule type="containsText" dxfId="442" priority="1010" operator="containsText" text="A">
      <formula>NOT(ISERROR(SEARCH("A",AC65)))</formula>
    </cfRule>
  </conditionalFormatting>
  <conditionalFormatting sqref="V63:Z63">
    <cfRule type="containsText" dxfId="441" priority="1005" operator="containsText" text="D">
      <formula>NOT(ISERROR(SEARCH("D",V63)))</formula>
    </cfRule>
    <cfRule type="containsText" dxfId="440" priority="1006" operator="containsText" text="A">
      <formula>NOT(ISERROR(SEARCH("A",V63)))</formula>
    </cfRule>
    <cfRule type="containsText" dxfId="439" priority="1007" operator="containsText" text="D">
      <formula>NOT(ISERROR(SEARCH("D",V63)))</formula>
    </cfRule>
    <cfRule type="containsText" dxfId="438" priority="1008" operator="containsText" text="A">
      <formula>NOT(ISERROR(SEARCH("A",V63)))</formula>
    </cfRule>
  </conditionalFormatting>
  <conditionalFormatting sqref="X65:AB65">
    <cfRule type="containsText" dxfId="437" priority="1001" operator="containsText" text="D">
      <formula>NOT(ISERROR(SEARCH("D",X65)))</formula>
    </cfRule>
    <cfRule type="containsText" dxfId="436" priority="1002" operator="containsText" text="A">
      <formula>NOT(ISERROR(SEARCH("A",X65)))</formula>
    </cfRule>
    <cfRule type="containsText" dxfId="435" priority="1003" operator="containsText" text="D">
      <formula>NOT(ISERROR(SEARCH("D",X65)))</formula>
    </cfRule>
    <cfRule type="containsText" dxfId="434" priority="1004" operator="containsText" text="A">
      <formula>NOT(ISERROR(SEARCH("A",X65)))</formula>
    </cfRule>
  </conditionalFormatting>
  <conditionalFormatting sqref="Y55:AC55">
    <cfRule type="containsText" dxfId="433" priority="845" operator="containsText" text="D">
      <formula>NOT(ISERROR(SEARCH("D",Y55)))</formula>
    </cfRule>
    <cfRule type="containsText" dxfId="432" priority="846" operator="containsText" text="A">
      <formula>NOT(ISERROR(SEARCH("A",Y55)))</formula>
    </cfRule>
    <cfRule type="containsText" dxfId="431" priority="847" operator="containsText" text="D">
      <formula>NOT(ISERROR(SEARCH("D",Y55)))</formula>
    </cfRule>
    <cfRule type="containsText" dxfId="430" priority="848" operator="containsText" text="A">
      <formula>NOT(ISERROR(SEARCH("A",Y55)))</formula>
    </cfRule>
    <cfRule type="containsText" dxfId="429" priority="849" operator="containsText" text="D">
      <formula>NOT(ISERROR(SEARCH("D",Y55)))</formula>
    </cfRule>
    <cfRule type="containsText" dxfId="428" priority="850" operator="containsText" text="A">
      <formula>NOT(ISERROR(SEARCH("A",Y55)))</formula>
    </cfRule>
    <cfRule type="containsText" dxfId="427" priority="851" operator="containsText" text="D">
      <formula>NOT(ISERROR(SEARCH("D",Y55)))</formula>
    </cfRule>
    <cfRule type="containsText" dxfId="426" priority="852" operator="containsText" text="A">
      <formula>NOT(ISERROR(SEARCH("A",Y55)))</formula>
    </cfRule>
    <cfRule type="containsText" dxfId="425" priority="993" operator="containsText" text="D">
      <formula>NOT(ISERROR(SEARCH("D",Y55)))</formula>
    </cfRule>
    <cfRule type="containsText" dxfId="424" priority="994" operator="containsText" text="A">
      <formula>NOT(ISERROR(SEARCH("A",Y55)))</formula>
    </cfRule>
    <cfRule type="containsText" dxfId="423" priority="995" operator="containsText" text="D">
      <formula>NOT(ISERROR(SEARCH("D",Y55)))</formula>
    </cfRule>
    <cfRule type="containsText" dxfId="422" priority="996" operator="containsText" text="A">
      <formula>NOT(ISERROR(SEARCH("A",Y55)))</formula>
    </cfRule>
    <cfRule type="containsText" dxfId="421" priority="997" operator="containsText" text="D">
      <formula>NOT(ISERROR(SEARCH("D",Y55)))</formula>
    </cfRule>
    <cfRule type="containsText" dxfId="420" priority="998" operator="containsText" text="A">
      <formula>NOT(ISERROR(SEARCH("A",Y55)))</formula>
    </cfRule>
    <cfRule type="containsText" dxfId="419" priority="999" operator="containsText" text="D">
      <formula>NOT(ISERROR(SEARCH("D",Y55)))</formula>
    </cfRule>
    <cfRule type="containsText" dxfId="418" priority="1000" operator="containsText" text="A">
      <formula>NOT(ISERROR(SEARCH("A",Y55)))</formula>
    </cfRule>
  </conditionalFormatting>
  <conditionalFormatting sqref="Z57:AD57">
    <cfRule type="containsText" dxfId="417" priority="837" operator="containsText" text="D">
      <formula>NOT(ISERROR(SEARCH("D",Z57)))</formula>
    </cfRule>
    <cfRule type="containsText" dxfId="416" priority="838" operator="containsText" text="A">
      <formula>NOT(ISERROR(SEARCH("A",Z57)))</formula>
    </cfRule>
    <cfRule type="containsText" dxfId="415" priority="839" operator="containsText" text="D">
      <formula>NOT(ISERROR(SEARCH("D",Z57)))</formula>
    </cfRule>
    <cfRule type="containsText" dxfId="414" priority="840" operator="containsText" text="A">
      <formula>NOT(ISERROR(SEARCH("A",Z57)))</formula>
    </cfRule>
    <cfRule type="containsText" dxfId="413" priority="841" operator="containsText" text="D">
      <formula>NOT(ISERROR(SEARCH("D",Z57)))</formula>
    </cfRule>
    <cfRule type="containsText" dxfId="412" priority="842" operator="containsText" text="A">
      <formula>NOT(ISERROR(SEARCH("A",Z57)))</formula>
    </cfRule>
    <cfRule type="containsText" dxfId="411" priority="843" operator="containsText" text="D">
      <formula>NOT(ISERROR(SEARCH("D",Z57)))</formula>
    </cfRule>
    <cfRule type="containsText" dxfId="410" priority="844" operator="containsText" text="A">
      <formula>NOT(ISERROR(SEARCH("A",Z57)))</formula>
    </cfRule>
    <cfRule type="containsText" dxfId="409" priority="985" operator="containsText" text="D">
      <formula>NOT(ISERROR(SEARCH("D",Z57)))</formula>
    </cfRule>
    <cfRule type="containsText" dxfId="408" priority="986" operator="containsText" text="A">
      <formula>NOT(ISERROR(SEARCH("A",Z57)))</formula>
    </cfRule>
    <cfRule type="containsText" dxfId="407" priority="987" operator="containsText" text="D">
      <formula>NOT(ISERROR(SEARCH("D",Z57)))</formula>
    </cfRule>
    <cfRule type="containsText" dxfId="406" priority="988" operator="containsText" text="A">
      <formula>NOT(ISERROR(SEARCH("A",Z57)))</formula>
    </cfRule>
    <cfRule type="containsText" dxfId="405" priority="989" operator="containsText" text="D">
      <formula>NOT(ISERROR(SEARCH("D",Z57)))</formula>
    </cfRule>
    <cfRule type="containsText" dxfId="404" priority="990" operator="containsText" text="A">
      <formula>NOT(ISERROR(SEARCH("A",Z57)))</formula>
    </cfRule>
    <cfRule type="containsText" dxfId="403" priority="991" operator="containsText" text="D">
      <formula>NOT(ISERROR(SEARCH("D",Z57)))</formula>
    </cfRule>
    <cfRule type="containsText" dxfId="402" priority="992" operator="containsText" text="A">
      <formula>NOT(ISERROR(SEARCH("A",Z57)))</formula>
    </cfRule>
  </conditionalFormatting>
  <conditionalFormatting sqref="AA60:AE60">
    <cfRule type="containsText" dxfId="401" priority="829" operator="containsText" text="D">
      <formula>NOT(ISERROR(SEARCH("D",AA60)))</formula>
    </cfRule>
    <cfRule type="containsText" dxfId="400" priority="830" operator="containsText" text="A">
      <formula>NOT(ISERROR(SEARCH("A",AA60)))</formula>
    </cfRule>
    <cfRule type="containsText" dxfId="399" priority="831" operator="containsText" text="D">
      <formula>NOT(ISERROR(SEARCH("D",AA60)))</formula>
    </cfRule>
    <cfRule type="containsText" dxfId="398" priority="832" operator="containsText" text="A">
      <formula>NOT(ISERROR(SEARCH("A",AA60)))</formula>
    </cfRule>
    <cfRule type="containsText" dxfId="397" priority="833" operator="containsText" text="D">
      <formula>NOT(ISERROR(SEARCH("D",AA60)))</formula>
    </cfRule>
    <cfRule type="containsText" dxfId="396" priority="834" operator="containsText" text="A">
      <formula>NOT(ISERROR(SEARCH("A",AA60)))</formula>
    </cfRule>
    <cfRule type="containsText" dxfId="395" priority="835" operator="containsText" text="D">
      <formula>NOT(ISERROR(SEARCH("D",AA60)))</formula>
    </cfRule>
    <cfRule type="containsText" dxfId="394" priority="836" operator="containsText" text="A">
      <formula>NOT(ISERROR(SEARCH("A",AA60)))</formula>
    </cfRule>
    <cfRule type="containsText" dxfId="393" priority="977" operator="containsText" text="D">
      <formula>NOT(ISERROR(SEARCH("D",AA60)))</formula>
    </cfRule>
    <cfRule type="containsText" dxfId="392" priority="978" operator="containsText" text="A">
      <formula>NOT(ISERROR(SEARCH("A",AA60)))</formula>
    </cfRule>
    <cfRule type="containsText" dxfId="391" priority="979" operator="containsText" text="D">
      <formula>NOT(ISERROR(SEARCH("D",AA60)))</formula>
    </cfRule>
    <cfRule type="containsText" dxfId="390" priority="980" operator="containsText" text="A">
      <formula>NOT(ISERROR(SEARCH("A",AA60)))</formula>
    </cfRule>
    <cfRule type="containsText" dxfId="389" priority="981" operator="containsText" text="D">
      <formula>NOT(ISERROR(SEARCH("D",AA60)))</formula>
    </cfRule>
    <cfRule type="containsText" dxfId="388" priority="982" operator="containsText" text="A">
      <formula>NOT(ISERROR(SEARCH("A",AA60)))</formula>
    </cfRule>
    <cfRule type="containsText" dxfId="387" priority="983" operator="containsText" text="D">
      <formula>NOT(ISERROR(SEARCH("D",AA60)))</formula>
    </cfRule>
    <cfRule type="containsText" dxfId="386" priority="984" operator="containsText" text="A">
      <formula>NOT(ISERROR(SEARCH("A",AA60)))</formula>
    </cfRule>
  </conditionalFormatting>
  <conditionalFormatting sqref="AB62:AF62">
    <cfRule type="containsText" dxfId="385" priority="821" operator="containsText" text="D">
      <formula>NOT(ISERROR(SEARCH("D",AB62)))</formula>
    </cfRule>
    <cfRule type="containsText" dxfId="384" priority="822" operator="containsText" text="A">
      <formula>NOT(ISERROR(SEARCH("A",AB62)))</formula>
    </cfRule>
    <cfRule type="containsText" dxfId="383" priority="823" operator="containsText" text="D">
      <formula>NOT(ISERROR(SEARCH("D",AB62)))</formula>
    </cfRule>
    <cfRule type="containsText" dxfId="382" priority="824" operator="containsText" text="A">
      <formula>NOT(ISERROR(SEARCH("A",AB62)))</formula>
    </cfRule>
    <cfRule type="containsText" dxfId="381" priority="825" operator="containsText" text="D">
      <formula>NOT(ISERROR(SEARCH("D",AB62)))</formula>
    </cfRule>
    <cfRule type="containsText" dxfId="380" priority="826" operator="containsText" text="A">
      <formula>NOT(ISERROR(SEARCH("A",AB62)))</formula>
    </cfRule>
    <cfRule type="containsText" dxfId="379" priority="827" operator="containsText" text="D">
      <formula>NOT(ISERROR(SEARCH("D",AB62)))</formula>
    </cfRule>
    <cfRule type="containsText" dxfId="378" priority="828" operator="containsText" text="A">
      <formula>NOT(ISERROR(SEARCH("A",AB62)))</formula>
    </cfRule>
    <cfRule type="containsText" dxfId="377" priority="969" operator="containsText" text="D">
      <formula>NOT(ISERROR(SEARCH("D",AB62)))</formula>
    </cfRule>
    <cfRule type="containsText" dxfId="376" priority="970" operator="containsText" text="A">
      <formula>NOT(ISERROR(SEARCH("A",AB62)))</formula>
    </cfRule>
    <cfRule type="containsText" dxfId="375" priority="971" operator="containsText" text="D">
      <formula>NOT(ISERROR(SEARCH("D",AB62)))</formula>
    </cfRule>
    <cfRule type="containsText" dxfId="374" priority="972" operator="containsText" text="A">
      <formula>NOT(ISERROR(SEARCH("A",AB62)))</formula>
    </cfRule>
    <cfRule type="containsText" dxfId="373" priority="973" operator="containsText" text="D">
      <formula>NOT(ISERROR(SEARCH("D",AB62)))</formula>
    </cfRule>
    <cfRule type="containsText" dxfId="372" priority="974" operator="containsText" text="A">
      <formula>NOT(ISERROR(SEARCH("A",AB62)))</formula>
    </cfRule>
    <cfRule type="containsText" dxfId="371" priority="975" operator="containsText" text="D">
      <formula>NOT(ISERROR(SEARCH("D",AB62)))</formula>
    </cfRule>
    <cfRule type="containsText" dxfId="370" priority="976" operator="containsText" text="A">
      <formula>NOT(ISERROR(SEARCH("A",AB62)))</formula>
    </cfRule>
  </conditionalFormatting>
  <conditionalFormatting sqref="AB65:AE65">
    <cfRule type="containsText" dxfId="369" priority="967" operator="containsText" text="D">
      <formula>NOT(ISERROR(SEARCH("D",AB65)))</formula>
    </cfRule>
    <cfRule type="containsText" dxfId="368" priority="968" operator="containsText" text="A">
      <formula>NOT(ISERROR(SEARCH("A",AB65)))</formula>
    </cfRule>
  </conditionalFormatting>
  <conditionalFormatting sqref="Y58:AC58">
    <cfRule type="containsText" dxfId="367" priority="813" operator="containsText" text="D">
      <formula>NOT(ISERROR(SEARCH("D",Y58)))</formula>
    </cfRule>
    <cfRule type="containsText" dxfId="366" priority="814" operator="containsText" text="A">
      <formula>NOT(ISERROR(SEARCH("A",Y58)))</formula>
    </cfRule>
    <cfRule type="containsText" dxfId="365" priority="815" operator="containsText" text="D">
      <formula>NOT(ISERROR(SEARCH("D",Y58)))</formula>
    </cfRule>
    <cfRule type="containsText" dxfId="364" priority="816" operator="containsText" text="A">
      <formula>NOT(ISERROR(SEARCH("A",Y58)))</formula>
    </cfRule>
    <cfRule type="containsText" dxfId="363" priority="817" operator="containsText" text="D">
      <formula>NOT(ISERROR(SEARCH("D",Y58)))</formula>
    </cfRule>
    <cfRule type="containsText" dxfId="362" priority="818" operator="containsText" text="A">
      <formula>NOT(ISERROR(SEARCH("A",Y58)))</formula>
    </cfRule>
    <cfRule type="containsText" dxfId="361" priority="819" operator="containsText" text="D">
      <formula>NOT(ISERROR(SEARCH("D",Y58)))</formula>
    </cfRule>
    <cfRule type="containsText" dxfId="360" priority="820" operator="containsText" text="A">
      <formula>NOT(ISERROR(SEARCH("A",Y58)))</formula>
    </cfRule>
    <cfRule type="containsText" dxfId="359" priority="957" operator="containsText" text="D">
      <formula>NOT(ISERROR(SEARCH("D",Y58)))</formula>
    </cfRule>
    <cfRule type="containsText" dxfId="358" priority="958" operator="containsText" text="A">
      <formula>NOT(ISERROR(SEARCH("A",Y58)))</formula>
    </cfRule>
    <cfRule type="containsText" dxfId="357" priority="959" operator="containsText" text="D">
      <formula>NOT(ISERROR(SEARCH("D",Y58)))</formula>
    </cfRule>
    <cfRule type="containsText" dxfId="356" priority="960" operator="containsText" text="A">
      <formula>NOT(ISERROR(SEARCH("A",Y58)))</formula>
    </cfRule>
    <cfRule type="containsText" dxfId="355" priority="961" operator="containsText" text="D">
      <formula>NOT(ISERROR(SEARCH("D",Y58)))</formula>
    </cfRule>
    <cfRule type="containsText" dxfId="354" priority="962" operator="containsText" text="A">
      <formula>NOT(ISERROR(SEARCH("A",Y58)))</formula>
    </cfRule>
    <cfRule type="containsText" dxfId="353" priority="963" operator="containsText" text="D">
      <formula>NOT(ISERROR(SEARCH("D",Y58)))</formula>
    </cfRule>
    <cfRule type="containsText" dxfId="352" priority="964" operator="containsText" text="A">
      <formula>NOT(ISERROR(SEARCH("A",Y58)))</formula>
    </cfRule>
  </conditionalFormatting>
  <conditionalFormatting sqref="Z60:AD60">
    <cfRule type="containsText" dxfId="351" priority="805" operator="containsText" text="D">
      <formula>NOT(ISERROR(SEARCH("D",Z60)))</formula>
    </cfRule>
    <cfRule type="containsText" dxfId="350" priority="806" operator="containsText" text="A">
      <formula>NOT(ISERROR(SEARCH("A",Z60)))</formula>
    </cfRule>
    <cfRule type="containsText" dxfId="349" priority="807" operator="containsText" text="D">
      <formula>NOT(ISERROR(SEARCH("D",Z60)))</formula>
    </cfRule>
    <cfRule type="containsText" dxfId="348" priority="808" operator="containsText" text="A">
      <formula>NOT(ISERROR(SEARCH("A",Z60)))</formula>
    </cfRule>
    <cfRule type="containsText" dxfId="347" priority="809" operator="containsText" text="D">
      <formula>NOT(ISERROR(SEARCH("D",Z60)))</formula>
    </cfRule>
    <cfRule type="containsText" dxfId="346" priority="810" operator="containsText" text="A">
      <formula>NOT(ISERROR(SEARCH("A",Z60)))</formula>
    </cfRule>
    <cfRule type="containsText" dxfId="345" priority="811" operator="containsText" text="D">
      <formula>NOT(ISERROR(SEARCH("D",Z60)))</formula>
    </cfRule>
    <cfRule type="containsText" dxfId="344" priority="812" operator="containsText" text="A">
      <formula>NOT(ISERROR(SEARCH("A",Z60)))</formula>
    </cfRule>
    <cfRule type="containsText" dxfId="343" priority="949" operator="containsText" text="D">
      <formula>NOT(ISERROR(SEARCH("D",Z60)))</formula>
    </cfRule>
    <cfRule type="containsText" dxfId="342" priority="950" operator="containsText" text="A">
      <formula>NOT(ISERROR(SEARCH("A",Z60)))</formula>
    </cfRule>
    <cfRule type="containsText" dxfId="341" priority="951" operator="containsText" text="D">
      <formula>NOT(ISERROR(SEARCH("D",Z60)))</formula>
    </cfRule>
    <cfRule type="containsText" dxfId="340" priority="952" operator="containsText" text="A">
      <formula>NOT(ISERROR(SEARCH("A",Z60)))</formula>
    </cfRule>
    <cfRule type="containsText" dxfId="339" priority="953" operator="containsText" text="D">
      <formula>NOT(ISERROR(SEARCH("D",Z60)))</formula>
    </cfRule>
    <cfRule type="containsText" dxfId="338" priority="954" operator="containsText" text="A">
      <formula>NOT(ISERROR(SEARCH("A",Z60)))</formula>
    </cfRule>
    <cfRule type="containsText" dxfId="337" priority="955" operator="containsText" text="D">
      <formula>NOT(ISERROR(SEARCH("D",Z60)))</formula>
    </cfRule>
    <cfRule type="containsText" dxfId="336" priority="956" operator="containsText" text="A">
      <formula>NOT(ISERROR(SEARCH("A",Z60)))</formula>
    </cfRule>
  </conditionalFormatting>
  <conditionalFormatting sqref="AA63:AE63">
    <cfRule type="containsText" dxfId="335" priority="941" operator="containsText" text="D">
      <formula>NOT(ISERROR(SEARCH("D",AA63)))</formula>
    </cfRule>
    <cfRule type="containsText" dxfId="334" priority="942" operator="containsText" text="A">
      <formula>NOT(ISERROR(SEARCH("A",AA63)))</formula>
    </cfRule>
    <cfRule type="containsText" dxfId="333" priority="943" operator="containsText" text="D">
      <formula>NOT(ISERROR(SEARCH("D",AA63)))</formula>
    </cfRule>
    <cfRule type="containsText" dxfId="332" priority="944" operator="containsText" text="A">
      <formula>NOT(ISERROR(SEARCH("A",AA63)))</formula>
    </cfRule>
    <cfRule type="containsText" dxfId="331" priority="945" operator="containsText" text="D">
      <formula>NOT(ISERROR(SEARCH("D",AA63)))</formula>
    </cfRule>
    <cfRule type="containsText" dxfId="330" priority="946" operator="containsText" text="A">
      <formula>NOT(ISERROR(SEARCH("A",AA63)))</formula>
    </cfRule>
    <cfRule type="containsText" dxfId="329" priority="947" operator="containsText" text="D">
      <formula>NOT(ISERROR(SEARCH("D",AA63)))</formula>
    </cfRule>
    <cfRule type="containsText" dxfId="328" priority="948" operator="containsText" text="A">
      <formula>NOT(ISERROR(SEARCH("A",AA63)))</formula>
    </cfRule>
  </conditionalFormatting>
  <conditionalFormatting sqref="AB65:AF65">
    <cfRule type="containsText" dxfId="327" priority="933" operator="containsText" text="D">
      <formula>NOT(ISERROR(SEARCH("D",AB65)))</formula>
    </cfRule>
    <cfRule type="containsText" dxfId="326" priority="934" operator="containsText" text="A">
      <formula>NOT(ISERROR(SEARCH("A",AB65)))</formula>
    </cfRule>
    <cfRule type="containsText" dxfId="325" priority="935" operator="containsText" text="D">
      <formula>NOT(ISERROR(SEARCH("D",AB65)))</formula>
    </cfRule>
    <cfRule type="containsText" dxfId="324" priority="936" operator="containsText" text="A">
      <formula>NOT(ISERROR(SEARCH("A",AB65)))</formula>
    </cfRule>
    <cfRule type="containsText" dxfId="323" priority="937" operator="containsText" text="D">
      <formula>NOT(ISERROR(SEARCH("D",AB65)))</formula>
    </cfRule>
    <cfRule type="containsText" dxfId="322" priority="938" operator="containsText" text="A">
      <formula>NOT(ISERROR(SEARCH("A",AB65)))</formula>
    </cfRule>
    <cfRule type="containsText" dxfId="321" priority="939" operator="containsText" text="D">
      <formula>NOT(ISERROR(SEARCH("D",AB65)))</formula>
    </cfRule>
    <cfRule type="containsText" dxfId="320" priority="940" operator="containsText" text="A">
      <formula>NOT(ISERROR(SEARCH("A",AB65)))</formula>
    </cfRule>
  </conditionalFormatting>
  <conditionalFormatting sqref="AF9:AM9">
    <cfRule type="containsText" dxfId="319" priority="803" operator="containsText" text="D">
      <formula>NOT(ISERROR(SEARCH("D",AF9)))</formula>
    </cfRule>
    <cfRule type="containsText" dxfId="318" priority="804" operator="containsText" text="A">
      <formula>NOT(ISERROR(SEARCH("A",AF9)))</formula>
    </cfRule>
    <cfRule type="containsText" dxfId="317" priority="931" operator="containsText" text="D">
      <formula>NOT(ISERROR(SEARCH("D",AF9)))</formula>
    </cfRule>
    <cfRule type="containsText" dxfId="316" priority="932" operator="containsText" text="A">
      <formula>NOT(ISERROR(SEARCH("A",AF9)))</formula>
    </cfRule>
  </conditionalFormatting>
  <conditionalFormatting sqref="Y61:AC61">
    <cfRule type="containsText" dxfId="315" priority="793" operator="containsText" text="D">
      <formula>NOT(ISERROR(SEARCH("D",Y61)))</formula>
    </cfRule>
    <cfRule type="containsText" dxfId="314" priority="794" operator="containsText" text="A">
      <formula>NOT(ISERROR(SEARCH("A",Y61)))</formula>
    </cfRule>
    <cfRule type="containsText" dxfId="313" priority="795" operator="containsText" text="D">
      <formula>NOT(ISERROR(SEARCH("D",Y61)))</formula>
    </cfRule>
    <cfRule type="containsText" dxfId="312" priority="796" operator="containsText" text="A">
      <formula>NOT(ISERROR(SEARCH("A",Y61)))</formula>
    </cfRule>
    <cfRule type="containsText" dxfId="311" priority="797" operator="containsText" text="D">
      <formula>NOT(ISERROR(SEARCH("D",Y61)))</formula>
    </cfRule>
    <cfRule type="containsText" dxfId="310" priority="798" operator="containsText" text="A">
      <formula>NOT(ISERROR(SEARCH("A",Y61)))</formula>
    </cfRule>
    <cfRule type="containsText" dxfId="309" priority="799" operator="containsText" text="D">
      <formula>NOT(ISERROR(SEARCH("D",Y61)))</formula>
    </cfRule>
    <cfRule type="containsText" dxfId="308" priority="800" operator="containsText" text="A">
      <formula>NOT(ISERROR(SEARCH("A",Y61)))</formula>
    </cfRule>
    <cfRule type="containsText" dxfId="307" priority="923" operator="containsText" text="D">
      <formula>NOT(ISERROR(SEARCH("D",Y61)))</formula>
    </cfRule>
    <cfRule type="containsText" dxfId="306" priority="924" operator="containsText" text="A">
      <formula>NOT(ISERROR(SEARCH("A",Y61)))</formula>
    </cfRule>
    <cfRule type="containsText" dxfId="305" priority="925" operator="containsText" text="D">
      <formula>NOT(ISERROR(SEARCH("D",Y61)))</formula>
    </cfRule>
    <cfRule type="containsText" dxfId="304" priority="926" operator="containsText" text="A">
      <formula>NOT(ISERROR(SEARCH("A",Y61)))</formula>
    </cfRule>
    <cfRule type="containsText" dxfId="303" priority="927" operator="containsText" text="D">
      <formula>NOT(ISERROR(SEARCH("D",Y61)))</formula>
    </cfRule>
    <cfRule type="containsText" dxfId="302" priority="928" operator="containsText" text="A">
      <formula>NOT(ISERROR(SEARCH("A",Y61)))</formula>
    </cfRule>
    <cfRule type="containsText" dxfId="301" priority="929" operator="containsText" text="D">
      <formula>NOT(ISERROR(SEARCH("D",Y61)))</formula>
    </cfRule>
    <cfRule type="containsText" dxfId="300" priority="930" operator="containsText" text="A">
      <formula>NOT(ISERROR(SEARCH("A",Y61)))</formula>
    </cfRule>
  </conditionalFormatting>
  <conditionalFormatting sqref="Z63:AD63">
    <cfRule type="containsText" dxfId="299" priority="915" operator="containsText" text="D">
      <formula>NOT(ISERROR(SEARCH("D",Z63)))</formula>
    </cfRule>
    <cfRule type="containsText" dxfId="298" priority="916" operator="containsText" text="A">
      <formula>NOT(ISERROR(SEARCH("A",Z63)))</formula>
    </cfRule>
    <cfRule type="containsText" dxfId="297" priority="917" operator="containsText" text="D">
      <formula>NOT(ISERROR(SEARCH("D",Z63)))</formula>
    </cfRule>
    <cfRule type="containsText" dxfId="296" priority="918" operator="containsText" text="A">
      <formula>NOT(ISERROR(SEARCH("A",Z63)))</formula>
    </cfRule>
    <cfRule type="containsText" dxfId="295" priority="919" operator="containsText" text="D">
      <formula>NOT(ISERROR(SEARCH("D",Z63)))</formula>
    </cfRule>
    <cfRule type="containsText" dxfId="294" priority="920" operator="containsText" text="A">
      <formula>NOT(ISERROR(SEARCH("A",Z63)))</formula>
    </cfRule>
    <cfRule type="containsText" dxfId="293" priority="921" operator="containsText" text="D">
      <formula>NOT(ISERROR(SEARCH("D",Z63)))</formula>
    </cfRule>
    <cfRule type="containsText" dxfId="292" priority="922" operator="containsText" text="A">
      <formula>NOT(ISERROR(SEARCH("A",Z63)))</formula>
    </cfRule>
  </conditionalFormatting>
  <conditionalFormatting sqref="AF12:AM12">
    <cfRule type="containsText" dxfId="291" priority="787" operator="containsText" text="D">
      <formula>NOT(ISERROR(SEARCH("D",AF12)))</formula>
    </cfRule>
    <cfRule type="containsText" dxfId="290" priority="788" operator="containsText" text="A">
      <formula>NOT(ISERROR(SEARCH("A",AF12)))</formula>
    </cfRule>
    <cfRule type="containsText" dxfId="289" priority="913" operator="containsText" text="D">
      <formula>NOT(ISERROR(SEARCH("D",AF12)))</formula>
    </cfRule>
    <cfRule type="containsText" dxfId="288" priority="914" operator="containsText" text="A">
      <formula>NOT(ISERROR(SEARCH("A",AF12)))</formula>
    </cfRule>
  </conditionalFormatting>
  <conditionalFormatting sqref="L11:AG11">
    <cfRule type="containsText" dxfId="287" priority="911" operator="containsText" text="D">
      <formula>NOT(ISERROR(SEARCH("D",L11)))</formula>
    </cfRule>
    <cfRule type="containsText" dxfId="286" priority="912" operator="containsText" text="A">
      <formula>NOT(ISERROR(SEARCH("A",L11)))</formula>
    </cfRule>
  </conditionalFormatting>
  <conditionalFormatting sqref="Y64:AC64">
    <cfRule type="containsText" dxfId="285" priority="903" operator="containsText" text="D">
      <formula>NOT(ISERROR(SEARCH("D",Y64)))</formula>
    </cfRule>
    <cfRule type="containsText" dxfId="284" priority="904" operator="containsText" text="A">
      <formula>NOT(ISERROR(SEARCH("A",Y64)))</formula>
    </cfRule>
    <cfRule type="containsText" dxfId="283" priority="905" operator="containsText" text="D">
      <formula>NOT(ISERROR(SEARCH("D",Y64)))</formula>
    </cfRule>
    <cfRule type="containsText" dxfId="282" priority="906" operator="containsText" text="A">
      <formula>NOT(ISERROR(SEARCH("A",Y64)))</formula>
    </cfRule>
    <cfRule type="containsText" dxfId="281" priority="907" operator="containsText" text="D">
      <formula>NOT(ISERROR(SEARCH("D",Y64)))</formula>
    </cfRule>
    <cfRule type="containsText" dxfId="280" priority="908" operator="containsText" text="A">
      <formula>NOT(ISERROR(SEARCH("A",Y64)))</formula>
    </cfRule>
    <cfRule type="containsText" dxfId="279" priority="909" operator="containsText" text="D">
      <formula>NOT(ISERROR(SEARCH("D",Y64)))</formula>
    </cfRule>
    <cfRule type="containsText" dxfId="278" priority="910" operator="containsText" text="A">
      <formula>NOT(ISERROR(SEARCH("A",Y64)))</formula>
    </cfRule>
  </conditionalFormatting>
  <conditionalFormatting sqref="U11:W11">
    <cfRule type="containsText" dxfId="277" priority="901" operator="containsText" text="D">
      <formula>NOT(ISERROR(SEARCH("D",U11)))</formula>
    </cfRule>
    <cfRule type="containsText" dxfId="276" priority="902" operator="containsText" text="A">
      <formula>NOT(ISERROR(SEARCH("A",U11)))</formula>
    </cfRule>
  </conditionalFormatting>
  <conditionalFormatting sqref="AE13:AI13">
    <cfRule type="containsText" dxfId="275" priority="899" operator="containsText" text="D">
      <formula>NOT(ISERROR(SEARCH("D",AE13)))</formula>
    </cfRule>
    <cfRule type="containsText" dxfId="274" priority="900" operator="containsText" text="A">
      <formula>NOT(ISERROR(SEARCH("A",AE13)))</formula>
    </cfRule>
  </conditionalFormatting>
  <conditionalFormatting sqref="AF15:AM15">
    <cfRule type="containsText" dxfId="273" priority="897" operator="containsText" text="D">
      <formula>NOT(ISERROR(SEARCH("D",AF15)))</formula>
    </cfRule>
    <cfRule type="containsText" dxfId="272" priority="898" operator="containsText" text="A">
      <formula>NOT(ISERROR(SEARCH("A",AF15)))</formula>
    </cfRule>
  </conditionalFormatting>
  <conditionalFormatting sqref="AC62:AF62">
    <cfRule type="containsText" dxfId="271" priority="895" operator="containsText" text="D">
      <formula>NOT(ISERROR(SEARCH("D",AC62)))</formula>
    </cfRule>
    <cfRule type="containsText" dxfId="270" priority="896" operator="containsText" text="A">
      <formula>NOT(ISERROR(SEARCH("A",AC62)))</formula>
    </cfRule>
  </conditionalFormatting>
  <conditionalFormatting sqref="V60:Z60">
    <cfRule type="containsText" dxfId="269" priority="891" operator="containsText" text="D">
      <formula>NOT(ISERROR(SEARCH("D",V60)))</formula>
    </cfRule>
    <cfRule type="containsText" dxfId="268" priority="892" operator="containsText" text="A">
      <formula>NOT(ISERROR(SEARCH("A",V60)))</formula>
    </cfRule>
    <cfRule type="containsText" dxfId="267" priority="893" operator="containsText" text="D">
      <formula>NOT(ISERROR(SEARCH("D",V60)))</formula>
    </cfRule>
    <cfRule type="containsText" dxfId="266" priority="894" operator="containsText" text="A">
      <formula>NOT(ISERROR(SEARCH("A",V60)))</formula>
    </cfRule>
  </conditionalFormatting>
  <conditionalFormatting sqref="X62:AB62">
    <cfRule type="containsText" dxfId="265" priority="887" operator="containsText" text="D">
      <formula>NOT(ISERROR(SEARCH("D",X62)))</formula>
    </cfRule>
    <cfRule type="containsText" dxfId="264" priority="888" operator="containsText" text="A">
      <formula>NOT(ISERROR(SEARCH("A",X62)))</formula>
    </cfRule>
    <cfRule type="containsText" dxfId="263" priority="889" operator="containsText" text="D">
      <formula>NOT(ISERROR(SEARCH("D",X62)))</formula>
    </cfRule>
    <cfRule type="containsText" dxfId="262" priority="890" operator="containsText" text="A">
      <formula>NOT(ISERROR(SEARCH("A",X62)))</formula>
    </cfRule>
  </conditionalFormatting>
  <conditionalFormatting sqref="Y52:AC52">
    <cfRule type="containsText" dxfId="261" priority="879" operator="containsText" text="D">
      <formula>NOT(ISERROR(SEARCH("D",Y52)))</formula>
    </cfRule>
    <cfRule type="containsText" dxfId="260" priority="880" operator="containsText" text="A">
      <formula>NOT(ISERROR(SEARCH("A",Y52)))</formula>
    </cfRule>
    <cfRule type="containsText" dxfId="259" priority="881" operator="containsText" text="D">
      <formula>NOT(ISERROR(SEARCH("D",Y52)))</formula>
    </cfRule>
    <cfRule type="containsText" dxfId="258" priority="882" operator="containsText" text="A">
      <formula>NOT(ISERROR(SEARCH("A",Y52)))</formula>
    </cfRule>
    <cfRule type="containsText" dxfId="257" priority="883" operator="containsText" text="D">
      <formula>NOT(ISERROR(SEARCH("D",Y52)))</formula>
    </cfRule>
    <cfRule type="containsText" dxfId="256" priority="884" operator="containsText" text="A">
      <formula>NOT(ISERROR(SEARCH("A",Y52)))</formula>
    </cfRule>
    <cfRule type="containsText" dxfId="255" priority="885" operator="containsText" text="D">
      <formula>NOT(ISERROR(SEARCH("D",Y52)))</formula>
    </cfRule>
    <cfRule type="containsText" dxfId="254" priority="886" operator="containsText" text="A">
      <formula>NOT(ISERROR(SEARCH("A",Y52)))</formula>
    </cfRule>
  </conditionalFormatting>
  <conditionalFormatting sqref="Z54:AD54">
    <cfRule type="containsText" dxfId="253" priority="871" operator="containsText" text="D">
      <formula>NOT(ISERROR(SEARCH("D",Z54)))</formula>
    </cfRule>
    <cfRule type="containsText" dxfId="252" priority="872" operator="containsText" text="A">
      <formula>NOT(ISERROR(SEARCH("A",Z54)))</formula>
    </cfRule>
    <cfRule type="containsText" dxfId="251" priority="873" operator="containsText" text="D">
      <formula>NOT(ISERROR(SEARCH("D",Z54)))</formula>
    </cfRule>
    <cfRule type="containsText" dxfId="250" priority="874" operator="containsText" text="A">
      <formula>NOT(ISERROR(SEARCH("A",Z54)))</formula>
    </cfRule>
    <cfRule type="containsText" dxfId="249" priority="875" operator="containsText" text="D">
      <formula>NOT(ISERROR(SEARCH("D",Z54)))</formula>
    </cfRule>
    <cfRule type="containsText" dxfId="248" priority="876" operator="containsText" text="A">
      <formula>NOT(ISERROR(SEARCH("A",Z54)))</formula>
    </cfRule>
    <cfRule type="containsText" dxfId="247" priority="877" operator="containsText" text="D">
      <formula>NOT(ISERROR(SEARCH("D",Z54)))</formula>
    </cfRule>
    <cfRule type="containsText" dxfId="246" priority="878" operator="containsText" text="A">
      <formula>NOT(ISERROR(SEARCH("A",Z54)))</formula>
    </cfRule>
  </conditionalFormatting>
  <conditionalFormatting sqref="AA57:AE57">
    <cfRule type="containsText" dxfId="245" priority="863" operator="containsText" text="D">
      <formula>NOT(ISERROR(SEARCH("D",AA57)))</formula>
    </cfRule>
    <cfRule type="containsText" dxfId="244" priority="864" operator="containsText" text="A">
      <formula>NOT(ISERROR(SEARCH("A",AA57)))</formula>
    </cfRule>
    <cfRule type="containsText" dxfId="243" priority="865" operator="containsText" text="D">
      <formula>NOT(ISERROR(SEARCH("D",AA57)))</formula>
    </cfRule>
    <cfRule type="containsText" dxfId="242" priority="866" operator="containsText" text="A">
      <formula>NOT(ISERROR(SEARCH("A",AA57)))</formula>
    </cfRule>
    <cfRule type="containsText" dxfId="241" priority="867" operator="containsText" text="D">
      <formula>NOT(ISERROR(SEARCH("D",AA57)))</formula>
    </cfRule>
    <cfRule type="containsText" dxfId="240" priority="868" operator="containsText" text="A">
      <formula>NOT(ISERROR(SEARCH("A",AA57)))</formula>
    </cfRule>
    <cfRule type="containsText" dxfId="239" priority="869" operator="containsText" text="D">
      <formula>NOT(ISERROR(SEARCH("D",AA57)))</formula>
    </cfRule>
    <cfRule type="containsText" dxfId="238" priority="870" operator="containsText" text="A">
      <formula>NOT(ISERROR(SEARCH("A",AA57)))</formula>
    </cfRule>
  </conditionalFormatting>
  <conditionalFormatting sqref="AB59:AF59">
    <cfRule type="containsText" dxfId="237" priority="855" operator="containsText" text="D">
      <formula>NOT(ISERROR(SEARCH("D",AB59)))</formula>
    </cfRule>
    <cfRule type="containsText" dxfId="236" priority="856" operator="containsText" text="A">
      <formula>NOT(ISERROR(SEARCH("A",AB59)))</formula>
    </cfRule>
    <cfRule type="containsText" dxfId="235" priority="857" operator="containsText" text="D">
      <formula>NOT(ISERROR(SEARCH("D",AB59)))</formula>
    </cfRule>
    <cfRule type="containsText" dxfId="234" priority="858" operator="containsText" text="A">
      <formula>NOT(ISERROR(SEARCH("A",AB59)))</formula>
    </cfRule>
    <cfRule type="containsText" dxfId="233" priority="859" operator="containsText" text="D">
      <formula>NOT(ISERROR(SEARCH("D",AB59)))</formula>
    </cfRule>
    <cfRule type="containsText" dxfId="232" priority="860" operator="containsText" text="A">
      <formula>NOT(ISERROR(SEARCH("A",AB59)))</formula>
    </cfRule>
    <cfRule type="containsText" dxfId="231" priority="861" operator="containsText" text="D">
      <formula>NOT(ISERROR(SEARCH("D",AB59)))</formula>
    </cfRule>
    <cfRule type="containsText" dxfId="230" priority="862" operator="containsText" text="A">
      <formula>NOT(ISERROR(SEARCH("A",AB59)))</formula>
    </cfRule>
  </conditionalFormatting>
  <conditionalFormatting sqref="AB62:AE62">
    <cfRule type="containsText" dxfId="229" priority="853" operator="containsText" text="D">
      <formula>NOT(ISERROR(SEARCH("D",AB62)))</formula>
    </cfRule>
    <cfRule type="containsText" dxfId="228" priority="854" operator="containsText" text="A">
      <formula>NOT(ISERROR(SEARCH("A",AB62)))</formula>
    </cfRule>
  </conditionalFormatting>
  <conditionalFormatting sqref="L8:AG8">
    <cfRule type="containsText" dxfId="227" priority="801" operator="containsText" text="D">
      <formula>NOT(ISERROR(SEARCH("D",L8)))</formula>
    </cfRule>
    <cfRule type="containsText" dxfId="226" priority="802" operator="containsText" text="A">
      <formula>NOT(ISERROR(SEARCH("A",L8)))</formula>
    </cfRule>
  </conditionalFormatting>
  <conditionalFormatting sqref="U8:W8">
    <cfRule type="containsText" dxfId="225" priority="791" operator="containsText" text="D">
      <formula>NOT(ISERROR(SEARCH("D",U8)))</formula>
    </cfRule>
    <cfRule type="containsText" dxfId="224" priority="792" operator="containsText" text="A">
      <formula>NOT(ISERROR(SEARCH("A",U8)))</formula>
    </cfRule>
  </conditionalFormatting>
  <conditionalFormatting sqref="AE10:AI10">
    <cfRule type="containsText" dxfId="223" priority="789" operator="containsText" text="D">
      <formula>NOT(ISERROR(SEARCH("D",AE10)))</formula>
    </cfRule>
    <cfRule type="containsText" dxfId="222" priority="790" operator="containsText" text="A">
      <formula>NOT(ISERROR(SEARCH("A",AE10)))</formula>
    </cfRule>
  </conditionalFormatting>
  <conditionalFormatting sqref="Y76:Y79">
    <cfRule type="containsText" dxfId="221" priority="657" operator="containsText" text="D">
      <formula>NOT(ISERROR(SEARCH("D",Y76)))</formula>
    </cfRule>
    <cfRule type="containsText" dxfId="220" priority="658" operator="containsText" text="A">
      <formula>NOT(ISERROR(SEARCH("A",Y76)))</formula>
    </cfRule>
  </conditionalFormatting>
  <conditionalFormatting sqref="AA76:AA80">
    <cfRule type="containsText" dxfId="219" priority="125" operator="containsText" text="D">
      <formula>NOT(ISERROR(SEARCH("D",AA76)))</formula>
    </cfRule>
    <cfRule type="containsText" dxfId="218" priority="126" operator="containsText" text="A">
      <formula>NOT(ISERROR(SEARCH("A",AA76)))</formula>
    </cfRule>
    <cfRule type="containsText" dxfId="217" priority="273" operator="containsText" text="D">
      <formula>NOT(ISERROR(SEARCH("D",AA76)))</formula>
    </cfRule>
    <cfRule type="containsText" dxfId="216" priority="274" operator="containsText" text="A">
      <formula>NOT(ISERROR(SEARCH("A",AA76)))</formula>
    </cfRule>
    <cfRule type="containsText" dxfId="215" priority="401" operator="containsText" text="D">
      <formula>NOT(ISERROR(SEARCH("D",AA76)))</formula>
    </cfRule>
    <cfRule type="containsText" dxfId="214" priority="402" operator="containsText" text="A">
      <formula>NOT(ISERROR(SEARCH("A",AA76)))</formula>
    </cfRule>
    <cfRule type="containsText" dxfId="213" priority="655" operator="containsText" text="D">
      <formula>NOT(ISERROR(SEARCH("D",AA76)))</formula>
    </cfRule>
    <cfRule type="containsText" dxfId="212" priority="656" operator="containsText" text="A">
      <formula>NOT(ISERROR(SEARCH("A",AA76)))</formula>
    </cfRule>
  </conditionalFormatting>
  <conditionalFormatting sqref="AG76:AG81">
    <cfRule type="containsText" dxfId="211" priority="111" operator="containsText" text="D">
      <formula>NOT(ISERROR(SEARCH("D",AG76)))</formula>
    </cfRule>
    <cfRule type="containsText" dxfId="210" priority="112" operator="containsText" text="A">
      <formula>NOT(ISERROR(SEARCH("A",AG76)))</formula>
    </cfRule>
    <cfRule type="containsText" dxfId="209" priority="119" operator="containsText" text="D">
      <formula>NOT(ISERROR(SEARCH("D",AG76)))</formula>
    </cfRule>
    <cfRule type="containsText" dxfId="208" priority="120" operator="containsText" text="A">
      <formula>NOT(ISERROR(SEARCH("A",AG76)))</formula>
    </cfRule>
    <cfRule type="containsText" dxfId="207" priority="259" operator="containsText" text="D">
      <formula>NOT(ISERROR(SEARCH("D",AG76)))</formula>
    </cfRule>
    <cfRule type="containsText" dxfId="206" priority="260" operator="containsText" text="A">
      <formula>NOT(ISERROR(SEARCH("A",AG76)))</formula>
    </cfRule>
    <cfRule type="containsText" dxfId="205" priority="267" operator="containsText" text="D">
      <formula>NOT(ISERROR(SEARCH("D",AG76)))</formula>
    </cfRule>
    <cfRule type="containsText" dxfId="204" priority="268" operator="containsText" text="A">
      <formula>NOT(ISERROR(SEARCH("A",AG76)))</formula>
    </cfRule>
    <cfRule type="containsText" dxfId="203" priority="387" operator="containsText" text="D">
      <formula>NOT(ISERROR(SEARCH("D",AG76)))</formula>
    </cfRule>
    <cfRule type="containsText" dxfId="202" priority="388" operator="containsText" text="A">
      <formula>NOT(ISERROR(SEARCH("A",AG76)))</formula>
    </cfRule>
    <cfRule type="containsText" dxfId="201" priority="395" operator="containsText" text="D">
      <formula>NOT(ISERROR(SEARCH("D",AG76)))</formula>
    </cfRule>
    <cfRule type="containsText" dxfId="200" priority="396" operator="containsText" text="A">
      <formula>NOT(ISERROR(SEARCH("A",AG76)))</formula>
    </cfRule>
    <cfRule type="containsText" dxfId="199" priority="639" operator="containsText" text="D">
      <formula>NOT(ISERROR(SEARCH("D",AG76)))</formula>
    </cfRule>
    <cfRule type="containsText" dxfId="198" priority="640" operator="containsText" text="A">
      <formula>NOT(ISERROR(SEARCH("A",AG76)))</formula>
    </cfRule>
    <cfRule type="containsText" dxfId="197" priority="649" operator="containsText" text="D">
      <formula>NOT(ISERROR(SEARCH("D",AG76)))</formula>
    </cfRule>
    <cfRule type="containsText" dxfId="196" priority="650" operator="containsText" text="A">
      <formula>NOT(ISERROR(SEARCH("A",AG76)))</formula>
    </cfRule>
  </conditionalFormatting>
  <conditionalFormatting sqref="Y65:Y72">
    <cfRule type="containsText" dxfId="195" priority="621" operator="containsText" text="D">
      <formula>NOT(ISERROR(SEARCH("D",Y65)))</formula>
    </cfRule>
    <cfRule type="containsText" dxfId="194" priority="622" operator="containsText" text="A">
      <formula>NOT(ISERROR(SEARCH("A",Y65)))</formula>
    </cfRule>
  </conditionalFormatting>
  <conditionalFormatting sqref="AA65:AA74">
    <cfRule type="containsText" dxfId="193" priority="89" operator="containsText" text="D">
      <formula>NOT(ISERROR(SEARCH("D",AA65)))</formula>
    </cfRule>
    <cfRule type="containsText" dxfId="192" priority="90" operator="containsText" text="A">
      <formula>NOT(ISERROR(SEARCH("A",AA65)))</formula>
    </cfRule>
    <cfRule type="containsText" dxfId="191" priority="241" operator="containsText" text="D">
      <formula>NOT(ISERROR(SEARCH("D",AA65)))</formula>
    </cfRule>
    <cfRule type="containsText" dxfId="190" priority="242" operator="containsText" text="A">
      <formula>NOT(ISERROR(SEARCH("A",AA65)))</formula>
    </cfRule>
    <cfRule type="containsText" dxfId="189" priority="369" operator="containsText" text="D">
      <formula>NOT(ISERROR(SEARCH("D",AA65)))</formula>
    </cfRule>
    <cfRule type="containsText" dxfId="188" priority="370" operator="containsText" text="A">
      <formula>NOT(ISERROR(SEARCH("A",AA65)))</formula>
    </cfRule>
    <cfRule type="containsText" dxfId="187" priority="619" operator="containsText" text="D">
      <formula>NOT(ISERROR(SEARCH("D",AA65)))</formula>
    </cfRule>
    <cfRule type="containsText" dxfId="186" priority="620" operator="containsText" text="A">
      <formula>NOT(ISERROR(SEARCH("A",AA65)))</formula>
    </cfRule>
  </conditionalFormatting>
  <conditionalFormatting sqref="AG65:AG75">
    <cfRule type="containsText" dxfId="185" priority="75" operator="containsText" text="D">
      <formula>NOT(ISERROR(SEARCH("D",AG65)))</formula>
    </cfRule>
    <cfRule type="containsText" dxfId="184" priority="76" operator="containsText" text="A">
      <formula>NOT(ISERROR(SEARCH("A",AG65)))</formula>
    </cfRule>
    <cfRule type="containsText" dxfId="183" priority="83" operator="containsText" text="D">
      <formula>NOT(ISERROR(SEARCH("D",AG65)))</formula>
    </cfRule>
    <cfRule type="containsText" dxfId="182" priority="84" operator="containsText" text="A">
      <formula>NOT(ISERROR(SEARCH("A",AG65)))</formula>
    </cfRule>
    <cfRule type="containsText" dxfId="181" priority="227" operator="containsText" text="D">
      <formula>NOT(ISERROR(SEARCH("D",AG65)))</formula>
    </cfRule>
    <cfRule type="containsText" dxfId="180" priority="228" operator="containsText" text="A">
      <formula>NOT(ISERROR(SEARCH("A",AG65)))</formula>
    </cfRule>
    <cfRule type="containsText" dxfId="179" priority="235" operator="containsText" text="D">
      <formula>NOT(ISERROR(SEARCH("D",AG65)))</formula>
    </cfRule>
    <cfRule type="containsText" dxfId="178" priority="236" operator="containsText" text="A">
      <formula>NOT(ISERROR(SEARCH("A",AG65)))</formula>
    </cfRule>
    <cfRule type="containsText" dxfId="177" priority="355" operator="containsText" text="D">
      <formula>NOT(ISERROR(SEARCH("D",AG65)))</formula>
    </cfRule>
    <cfRule type="containsText" dxfId="176" priority="356" operator="containsText" text="A">
      <formula>NOT(ISERROR(SEARCH("A",AG65)))</formula>
    </cfRule>
    <cfRule type="containsText" dxfId="175" priority="363" operator="containsText" text="D">
      <formula>NOT(ISERROR(SEARCH("D",AG65)))</formula>
    </cfRule>
    <cfRule type="containsText" dxfId="174" priority="364" operator="containsText" text="A">
      <formula>NOT(ISERROR(SEARCH("A",AG65)))</formula>
    </cfRule>
    <cfRule type="containsText" dxfId="173" priority="603" operator="containsText" text="D">
      <formula>NOT(ISERROR(SEARCH("D",AG65)))</formula>
    </cfRule>
    <cfRule type="containsText" dxfId="172" priority="604" operator="containsText" text="A">
      <formula>NOT(ISERROR(SEARCH("A",AG65)))</formula>
    </cfRule>
    <cfRule type="containsText" dxfId="171" priority="613" operator="containsText" text="D">
      <formula>NOT(ISERROR(SEARCH("D",AG65)))</formula>
    </cfRule>
    <cfRule type="containsText" dxfId="170" priority="614" operator="containsText" text="A">
      <formula>NOT(ISERROR(SEARCH("A",AG65)))</formula>
    </cfRule>
  </conditionalFormatting>
  <conditionalFormatting sqref="Y55:Y65">
    <cfRule type="containsText" dxfId="169" priority="583" operator="containsText" text="D">
      <formula>NOT(ISERROR(SEARCH("D",Y55)))</formula>
    </cfRule>
    <cfRule type="containsText" dxfId="168" priority="584" operator="containsText" text="A">
      <formula>NOT(ISERROR(SEARCH("A",Y55)))</formula>
    </cfRule>
  </conditionalFormatting>
  <conditionalFormatting sqref="AA57:AA65">
    <cfRule type="containsText" dxfId="167" priority="51" operator="containsText" text="D">
      <formula>NOT(ISERROR(SEARCH("D",AA57)))</formula>
    </cfRule>
    <cfRule type="containsText" dxfId="166" priority="52" operator="containsText" text="A">
      <formula>NOT(ISERROR(SEARCH("A",AA57)))</formula>
    </cfRule>
    <cfRule type="containsText" dxfId="165" priority="207" operator="containsText" text="D">
      <formula>NOT(ISERROR(SEARCH("D",AA57)))</formula>
    </cfRule>
    <cfRule type="containsText" dxfId="164" priority="208" operator="containsText" text="A">
      <formula>NOT(ISERROR(SEARCH("A",AA57)))</formula>
    </cfRule>
    <cfRule type="containsText" dxfId="163" priority="335" operator="containsText" text="D">
      <formula>NOT(ISERROR(SEARCH("D",AA57)))</formula>
    </cfRule>
    <cfRule type="containsText" dxfId="162" priority="336" operator="containsText" text="A">
      <formula>NOT(ISERROR(SEARCH("A",AA57)))</formula>
    </cfRule>
    <cfRule type="containsText" dxfId="161" priority="581" operator="containsText" text="D">
      <formula>NOT(ISERROR(SEARCH("D",AA57)))</formula>
    </cfRule>
    <cfRule type="containsText" dxfId="160" priority="582" operator="containsText" text="A">
      <formula>NOT(ISERROR(SEARCH("A",AA57)))</formula>
    </cfRule>
  </conditionalFormatting>
  <conditionalFormatting sqref="AC58:AC65">
    <cfRule type="containsText" dxfId="159" priority="49" operator="containsText" text="D">
      <formula>NOT(ISERROR(SEARCH("D",AC58)))</formula>
    </cfRule>
    <cfRule type="containsText" dxfId="158" priority="50" operator="containsText" text="A">
      <formula>NOT(ISERROR(SEARCH("A",AC58)))</formula>
    </cfRule>
    <cfRule type="containsText" dxfId="157" priority="205" operator="containsText" text="D">
      <formula>NOT(ISERROR(SEARCH("D",AC58)))</formula>
    </cfRule>
    <cfRule type="containsText" dxfId="156" priority="206" operator="containsText" text="A">
      <formula>NOT(ISERROR(SEARCH("A",AC58)))</formula>
    </cfRule>
    <cfRule type="containsText" dxfId="155" priority="333" operator="containsText" text="D">
      <formula>NOT(ISERROR(SEARCH("D",AC58)))</formula>
    </cfRule>
    <cfRule type="containsText" dxfId="154" priority="334" operator="containsText" text="A">
      <formula>NOT(ISERROR(SEARCH("A",AC58)))</formula>
    </cfRule>
    <cfRule type="containsText" dxfId="153" priority="579" operator="containsText" text="D">
      <formula>NOT(ISERROR(SEARCH("D",AC58)))</formula>
    </cfRule>
    <cfRule type="containsText" dxfId="152" priority="580" operator="containsText" text="A">
      <formula>NOT(ISERROR(SEARCH("A",AC58)))</formula>
    </cfRule>
  </conditionalFormatting>
  <conditionalFormatting sqref="AE59:AE65">
    <cfRule type="containsText" dxfId="151" priority="47" operator="containsText" text="D">
      <formula>NOT(ISERROR(SEARCH("D",AE59)))</formula>
    </cfRule>
    <cfRule type="containsText" dxfId="150" priority="48" operator="containsText" text="A">
      <formula>NOT(ISERROR(SEARCH("A",AE59)))</formula>
    </cfRule>
    <cfRule type="containsText" dxfId="149" priority="203" operator="containsText" text="D">
      <formula>NOT(ISERROR(SEARCH("D",AE59)))</formula>
    </cfRule>
    <cfRule type="containsText" dxfId="148" priority="204" operator="containsText" text="A">
      <formula>NOT(ISERROR(SEARCH("A",AE59)))</formula>
    </cfRule>
    <cfRule type="containsText" dxfId="147" priority="331" operator="containsText" text="D">
      <formula>NOT(ISERROR(SEARCH("D",AE59)))</formula>
    </cfRule>
    <cfRule type="containsText" dxfId="146" priority="332" operator="containsText" text="A">
      <formula>NOT(ISERROR(SEARCH("A",AE59)))</formula>
    </cfRule>
    <cfRule type="containsText" dxfId="145" priority="577" operator="containsText" text="D">
      <formula>NOT(ISERROR(SEARCH("D",AE59)))</formula>
    </cfRule>
    <cfRule type="containsText" dxfId="144" priority="578" operator="containsText" text="A">
      <formula>NOT(ISERROR(SEARCH("A",AE59)))</formula>
    </cfRule>
  </conditionalFormatting>
  <conditionalFormatting sqref="AG63:AG65">
    <cfRule type="containsText" dxfId="143" priority="45" operator="containsText" text="D">
      <formula>NOT(ISERROR(SEARCH("D",AG63)))</formula>
    </cfRule>
    <cfRule type="containsText" dxfId="142" priority="46" operator="containsText" text="A">
      <formula>NOT(ISERROR(SEARCH("A",AG63)))</formula>
    </cfRule>
    <cfRule type="containsText" dxfId="141" priority="201" operator="containsText" text="D">
      <formula>NOT(ISERROR(SEARCH("D",AG63)))</formula>
    </cfRule>
    <cfRule type="containsText" dxfId="140" priority="202" operator="containsText" text="A">
      <formula>NOT(ISERROR(SEARCH("A",AG63)))</formula>
    </cfRule>
    <cfRule type="containsText" dxfId="139" priority="329" operator="containsText" text="D">
      <formula>NOT(ISERROR(SEARCH("D",AG63)))</formula>
    </cfRule>
    <cfRule type="containsText" dxfId="138" priority="330" operator="containsText" text="A">
      <formula>NOT(ISERROR(SEARCH("A",AG63)))</formula>
    </cfRule>
    <cfRule type="containsText" dxfId="137" priority="575" operator="containsText" text="D">
      <formula>NOT(ISERROR(SEARCH("D",AG63)))</formula>
    </cfRule>
    <cfRule type="containsText" dxfId="136" priority="576" operator="containsText" text="A">
      <formula>NOT(ISERROR(SEARCH("A",AG63)))</formula>
    </cfRule>
  </conditionalFormatting>
  <conditionalFormatting sqref="AA59:AA65">
    <cfRule type="containsText" dxfId="135" priority="43" operator="containsText" text="D">
      <formula>NOT(ISERROR(SEARCH("D",AA59)))</formula>
    </cfRule>
    <cfRule type="containsText" dxfId="134" priority="44" operator="containsText" text="A">
      <formula>NOT(ISERROR(SEARCH("A",AA59)))</formula>
    </cfRule>
    <cfRule type="containsText" dxfId="133" priority="199" operator="containsText" text="D">
      <formula>NOT(ISERROR(SEARCH("D",AA59)))</formula>
    </cfRule>
    <cfRule type="containsText" dxfId="132" priority="200" operator="containsText" text="A">
      <formula>NOT(ISERROR(SEARCH("A",AA59)))</formula>
    </cfRule>
    <cfRule type="containsText" dxfId="131" priority="327" operator="containsText" text="D">
      <formula>NOT(ISERROR(SEARCH("D",AA59)))</formula>
    </cfRule>
    <cfRule type="containsText" dxfId="130" priority="328" operator="containsText" text="A">
      <formula>NOT(ISERROR(SEARCH("A",AA59)))</formula>
    </cfRule>
    <cfRule type="containsText" dxfId="129" priority="571" operator="containsText" text="D">
      <formula>NOT(ISERROR(SEARCH("D",AA59)))</formula>
    </cfRule>
    <cfRule type="containsText" dxfId="128" priority="572" operator="containsText" text="A">
      <formula>NOT(ISERROR(SEARCH("A",AA59)))</formula>
    </cfRule>
  </conditionalFormatting>
  <conditionalFormatting sqref="AC63:AC65">
    <cfRule type="containsText" dxfId="127" priority="41" operator="containsText" text="D">
      <formula>NOT(ISERROR(SEARCH("D",AC63)))</formula>
    </cfRule>
    <cfRule type="containsText" dxfId="126" priority="42" operator="containsText" text="A">
      <formula>NOT(ISERROR(SEARCH("A",AC63)))</formula>
    </cfRule>
    <cfRule type="containsText" dxfId="125" priority="197" operator="containsText" text="D">
      <formula>NOT(ISERROR(SEARCH("D",AC63)))</formula>
    </cfRule>
    <cfRule type="containsText" dxfId="124" priority="198" operator="containsText" text="A">
      <formula>NOT(ISERROR(SEARCH("A",AC63)))</formula>
    </cfRule>
    <cfRule type="containsText" dxfId="123" priority="325" operator="containsText" text="D">
      <formula>NOT(ISERROR(SEARCH("D",AC63)))</formula>
    </cfRule>
    <cfRule type="containsText" dxfId="122" priority="326" operator="containsText" text="A">
      <formula>NOT(ISERROR(SEARCH("A",AC63)))</formula>
    </cfRule>
    <cfRule type="containsText" dxfId="121" priority="569" operator="containsText" text="D">
      <formula>NOT(ISERROR(SEARCH("D",AC63)))</formula>
    </cfRule>
    <cfRule type="containsText" dxfId="120" priority="570" operator="containsText" text="A">
      <formula>NOT(ISERROR(SEARCH("A",AC63)))</formula>
    </cfRule>
  </conditionalFormatting>
  <conditionalFormatting sqref="AI8:AI10">
    <cfRule type="containsText" dxfId="119" priority="15" operator="containsText" text="D">
      <formula>NOT(ISERROR(SEARCH("D",AI8)))</formula>
    </cfRule>
    <cfRule type="containsText" dxfId="118" priority="16" operator="containsText" text="A">
      <formula>NOT(ISERROR(SEARCH("A",AI8)))</formula>
    </cfRule>
    <cfRule type="containsText" dxfId="117" priority="39" operator="containsText" text="D">
      <formula>NOT(ISERROR(SEARCH("D",AI8)))</formula>
    </cfRule>
    <cfRule type="containsText" dxfId="116" priority="40" operator="containsText" text="A">
      <formula>NOT(ISERROR(SEARCH("A",AI8)))</formula>
    </cfRule>
    <cfRule type="containsText" dxfId="115" priority="157" operator="containsText" text="D">
      <formula>NOT(ISERROR(SEARCH("D",AI8)))</formula>
    </cfRule>
    <cfRule type="containsText" dxfId="114" priority="158" operator="containsText" text="A">
      <formula>NOT(ISERROR(SEARCH("A",AI8)))</formula>
    </cfRule>
    <cfRule type="containsText" dxfId="113" priority="195" operator="containsText" text="D">
      <formula>NOT(ISERROR(SEARCH("D",AI8)))</formula>
    </cfRule>
    <cfRule type="containsText" dxfId="112" priority="196" operator="containsText" text="A">
      <formula>NOT(ISERROR(SEARCH("A",AI8)))</formula>
    </cfRule>
    <cfRule type="containsText" dxfId="111" priority="285" operator="containsText" text="D">
      <formula>NOT(ISERROR(SEARCH("D",AI8)))</formula>
    </cfRule>
    <cfRule type="containsText" dxfId="110" priority="286" operator="containsText" text="A">
      <formula>NOT(ISERROR(SEARCH("A",AI8)))</formula>
    </cfRule>
    <cfRule type="containsText" dxfId="109" priority="323" operator="containsText" text="D">
      <formula>NOT(ISERROR(SEARCH("D",AI8)))</formula>
    </cfRule>
    <cfRule type="containsText" dxfId="108" priority="324" operator="containsText" text="A">
      <formula>NOT(ISERROR(SEARCH("A",AI8)))</formula>
    </cfRule>
    <cfRule type="containsText" dxfId="107" priority="529" operator="containsText" text="D">
      <formula>NOT(ISERROR(SEARCH("D",AI8)))</formula>
    </cfRule>
    <cfRule type="containsText" dxfId="106" priority="530" operator="containsText" text="A">
      <formula>NOT(ISERROR(SEARCH("A",AI8)))</formula>
    </cfRule>
    <cfRule type="containsText" dxfId="105" priority="567" operator="containsText" text="D">
      <formula>NOT(ISERROR(SEARCH("D",AI8)))</formula>
    </cfRule>
    <cfRule type="containsText" dxfId="104" priority="568" operator="containsText" text="A">
      <formula>NOT(ISERROR(SEARCH("A",AI8)))</formula>
    </cfRule>
  </conditionalFormatting>
  <conditionalFormatting sqref="AI11:AI13">
    <cfRule type="containsText" dxfId="103" priority="11" operator="containsText" text="D">
      <formula>NOT(ISERROR(SEARCH("D",AI11)))</formula>
    </cfRule>
    <cfRule type="containsText" dxfId="102" priority="12" operator="containsText" text="A">
      <formula>NOT(ISERROR(SEARCH("A",AI11)))</formula>
    </cfRule>
    <cfRule type="containsText" dxfId="101" priority="35" operator="containsText" text="D">
      <formula>NOT(ISERROR(SEARCH("D",AI11)))</formula>
    </cfRule>
    <cfRule type="containsText" dxfId="100" priority="36" operator="containsText" text="A">
      <formula>NOT(ISERROR(SEARCH("A",AI11)))</formula>
    </cfRule>
    <cfRule type="containsText" dxfId="99" priority="153" operator="containsText" text="D">
      <formula>NOT(ISERROR(SEARCH("D",AI11)))</formula>
    </cfRule>
    <cfRule type="containsText" dxfId="98" priority="154" operator="containsText" text="A">
      <formula>NOT(ISERROR(SEARCH("A",AI11)))</formula>
    </cfRule>
    <cfRule type="containsText" dxfId="97" priority="177" operator="containsText" text="D">
      <formula>NOT(ISERROR(SEARCH("D",AI11)))</formula>
    </cfRule>
    <cfRule type="containsText" dxfId="96" priority="178" operator="containsText" text="A">
      <formula>NOT(ISERROR(SEARCH("A",AI11)))</formula>
    </cfRule>
    <cfRule type="containsText" dxfId="95" priority="281" operator="containsText" text="D">
      <formula>NOT(ISERROR(SEARCH("D",AI11)))</formula>
    </cfRule>
    <cfRule type="containsText" dxfId="94" priority="282" operator="containsText" text="A">
      <formula>NOT(ISERROR(SEARCH("A",AI11)))</formula>
    </cfRule>
    <cfRule type="containsText" dxfId="93" priority="305" operator="containsText" text="D">
      <formula>NOT(ISERROR(SEARCH("D",AI11)))</formula>
    </cfRule>
    <cfRule type="containsText" dxfId="92" priority="306" operator="containsText" text="A">
      <formula>NOT(ISERROR(SEARCH("A",AI11)))</formula>
    </cfRule>
    <cfRule type="containsText" dxfId="91" priority="525" operator="containsText" text="D">
      <formula>NOT(ISERROR(SEARCH("D",AI11)))</formula>
    </cfRule>
    <cfRule type="containsText" dxfId="90" priority="526" operator="containsText" text="A">
      <formula>NOT(ISERROR(SEARCH("A",AI11)))</formula>
    </cfRule>
    <cfRule type="containsText" dxfId="89" priority="549" operator="containsText" text="D">
      <formula>NOT(ISERROR(SEARCH("D",AI11)))</formula>
    </cfRule>
    <cfRule type="containsText" dxfId="88" priority="550" operator="containsText" text="A">
      <formula>NOT(ISERROR(SEARCH("A",AI11)))</formula>
    </cfRule>
  </conditionalFormatting>
  <conditionalFormatting sqref="AI14:AI16">
    <cfRule type="containsText" dxfId="87" priority="7" operator="containsText" text="D">
      <formula>NOT(ISERROR(SEARCH("D",AI14)))</formula>
    </cfRule>
    <cfRule type="containsText" dxfId="86" priority="8" operator="containsText" text="A">
      <formula>NOT(ISERROR(SEARCH("A",AI14)))</formula>
    </cfRule>
    <cfRule type="containsText" dxfId="85" priority="31" operator="containsText" text="D">
      <formula>NOT(ISERROR(SEARCH("D",AI14)))</formula>
    </cfRule>
    <cfRule type="containsText" dxfId="84" priority="32" operator="containsText" text="A">
      <formula>NOT(ISERROR(SEARCH("A",AI14)))</formula>
    </cfRule>
    <cfRule type="containsText" dxfId="83" priority="149" operator="containsText" text="D">
      <formula>NOT(ISERROR(SEARCH("D",AI14)))</formula>
    </cfRule>
    <cfRule type="containsText" dxfId="82" priority="150" operator="containsText" text="A">
      <formula>NOT(ISERROR(SEARCH("A",AI14)))</formula>
    </cfRule>
    <cfRule type="containsText" dxfId="81" priority="173" operator="containsText" text="D">
      <formula>NOT(ISERROR(SEARCH("D",AI14)))</formula>
    </cfRule>
    <cfRule type="containsText" dxfId="80" priority="174" operator="containsText" text="A">
      <formula>NOT(ISERROR(SEARCH("A",AI14)))</formula>
    </cfRule>
    <cfRule type="containsText" dxfId="79" priority="277" operator="containsText" text="D">
      <formula>NOT(ISERROR(SEARCH("D",AI14)))</formula>
    </cfRule>
    <cfRule type="containsText" dxfId="78" priority="278" operator="containsText" text="A">
      <formula>NOT(ISERROR(SEARCH("A",AI14)))</formula>
    </cfRule>
    <cfRule type="containsText" dxfId="77" priority="301" operator="containsText" text="D">
      <formula>NOT(ISERROR(SEARCH("D",AI14)))</formula>
    </cfRule>
    <cfRule type="containsText" dxfId="76" priority="302" operator="containsText" text="A">
      <formula>NOT(ISERROR(SEARCH("A",AI14)))</formula>
    </cfRule>
    <cfRule type="containsText" dxfId="75" priority="521" operator="containsText" text="D">
      <formula>NOT(ISERROR(SEARCH("D",AI14)))</formula>
    </cfRule>
    <cfRule type="containsText" dxfId="74" priority="522" operator="containsText" text="A">
      <formula>NOT(ISERROR(SEARCH("A",AI14)))</formula>
    </cfRule>
    <cfRule type="containsText" dxfId="73" priority="545" operator="containsText" text="D">
      <formula>NOT(ISERROR(SEARCH("D",AI14)))</formula>
    </cfRule>
    <cfRule type="containsText" dxfId="72" priority="546" operator="containsText" text="A">
      <formula>NOT(ISERROR(SEARCH("A",AI14)))</formula>
    </cfRule>
  </conditionalFormatting>
  <conditionalFormatting sqref="AI17:AI19">
    <cfRule type="containsText" dxfId="71" priority="27" operator="containsText" text="D">
      <formula>NOT(ISERROR(SEARCH("D",AI17)))</formula>
    </cfRule>
    <cfRule type="containsText" dxfId="70" priority="28" operator="containsText" text="A">
      <formula>NOT(ISERROR(SEARCH("A",AI17)))</formula>
    </cfRule>
    <cfRule type="containsText" dxfId="69" priority="169" operator="containsText" text="D">
      <formula>NOT(ISERROR(SEARCH("D",AI17)))</formula>
    </cfRule>
    <cfRule type="containsText" dxfId="68" priority="170" operator="containsText" text="A">
      <formula>NOT(ISERROR(SEARCH("A",AI17)))</formula>
    </cfRule>
    <cfRule type="containsText" dxfId="67" priority="297" operator="containsText" text="D">
      <formula>NOT(ISERROR(SEARCH("D",AI17)))</formula>
    </cfRule>
    <cfRule type="containsText" dxfId="66" priority="298" operator="containsText" text="A">
      <formula>NOT(ISERROR(SEARCH("A",AI17)))</formula>
    </cfRule>
    <cfRule type="containsText" dxfId="65" priority="541" operator="containsText" text="D">
      <formula>NOT(ISERROR(SEARCH("D",AI17)))</formula>
    </cfRule>
    <cfRule type="containsText" dxfId="64" priority="542" operator="containsText" text="A">
      <formula>NOT(ISERROR(SEARCH("A",AI17)))</formula>
    </cfRule>
  </conditionalFormatting>
  <conditionalFormatting sqref="AG60:AG62">
    <cfRule type="containsText" dxfId="63" priority="21" operator="containsText" text="D">
      <formula>NOT(ISERROR(SEARCH("D",AG60)))</formula>
    </cfRule>
    <cfRule type="containsText" dxfId="62" priority="22" operator="containsText" text="A">
      <formula>NOT(ISERROR(SEARCH("A",AG60)))</formula>
    </cfRule>
    <cfRule type="containsText" dxfId="61" priority="165" operator="containsText" text="D">
      <formula>NOT(ISERROR(SEARCH("D",AG60)))</formula>
    </cfRule>
    <cfRule type="containsText" dxfId="60" priority="166" operator="containsText" text="A">
      <formula>NOT(ISERROR(SEARCH("A",AG60)))</formula>
    </cfRule>
    <cfRule type="containsText" dxfId="59" priority="293" operator="containsText" text="D">
      <formula>NOT(ISERROR(SEARCH("D",AG60)))</formula>
    </cfRule>
    <cfRule type="containsText" dxfId="58" priority="294" operator="containsText" text="A">
      <formula>NOT(ISERROR(SEARCH("A",AG60)))</formula>
    </cfRule>
    <cfRule type="containsText" dxfId="57" priority="537" operator="containsText" text="D">
      <formula>NOT(ISERROR(SEARCH("D",AG60)))</formula>
    </cfRule>
    <cfRule type="containsText" dxfId="56" priority="538" operator="containsText" text="A">
      <formula>NOT(ISERROR(SEARCH("A",AG60)))</formula>
    </cfRule>
  </conditionalFormatting>
  <conditionalFormatting sqref="AC60:AC62">
    <cfRule type="containsText" dxfId="55" priority="19" operator="containsText" text="D">
      <formula>NOT(ISERROR(SEARCH("D",AC60)))</formula>
    </cfRule>
    <cfRule type="containsText" dxfId="54" priority="20" operator="containsText" text="A">
      <formula>NOT(ISERROR(SEARCH("A",AC60)))</formula>
    </cfRule>
    <cfRule type="containsText" dxfId="53" priority="163" operator="containsText" text="D">
      <formula>NOT(ISERROR(SEARCH("D",AC60)))</formula>
    </cfRule>
    <cfRule type="containsText" dxfId="52" priority="164" operator="containsText" text="A">
      <formula>NOT(ISERROR(SEARCH("A",AC60)))</formula>
    </cfRule>
    <cfRule type="containsText" dxfId="51" priority="291" operator="containsText" text="D">
      <formula>NOT(ISERROR(SEARCH("D",AC60)))</formula>
    </cfRule>
    <cfRule type="containsText" dxfId="50" priority="292" operator="containsText" text="A">
      <formula>NOT(ISERROR(SEARCH("A",AC60)))</formula>
    </cfRule>
    <cfRule type="containsText" dxfId="49" priority="535" operator="containsText" text="D">
      <formula>NOT(ISERROR(SEARCH("D",AC60)))</formula>
    </cfRule>
    <cfRule type="containsText" dxfId="48" priority="536" operator="containsText" text="A">
      <formula>NOT(ISERROR(SEARCH("A",AC60)))</formula>
    </cfRule>
  </conditionalFormatting>
  <conditionalFormatting sqref="Z76:Z79">
    <cfRule type="containsText" dxfId="47" priority="145" operator="containsText" text="D">
      <formula>NOT(ISERROR(SEARCH("D",Z76)))</formula>
    </cfRule>
    <cfRule type="containsText" dxfId="46" priority="146" operator="containsText" text="A">
      <formula>NOT(ISERROR(SEARCH("A",Z76)))</formula>
    </cfRule>
  </conditionalFormatting>
  <conditionalFormatting sqref="AB76:AB80">
    <cfRule type="containsText" dxfId="45" priority="143" operator="containsText" text="D">
      <formula>NOT(ISERROR(SEARCH("D",AB76)))</formula>
    </cfRule>
    <cfRule type="containsText" dxfId="44" priority="144" operator="containsText" text="A">
      <formula>NOT(ISERROR(SEARCH("A",AB76)))</formula>
    </cfRule>
  </conditionalFormatting>
  <conditionalFormatting sqref="AH76:AH81">
    <cfRule type="containsText" dxfId="43" priority="127" operator="containsText" text="D">
      <formula>NOT(ISERROR(SEARCH("D",AH76)))</formula>
    </cfRule>
    <cfRule type="containsText" dxfId="42" priority="128" operator="containsText" text="A">
      <formula>NOT(ISERROR(SEARCH("A",AH76)))</formula>
    </cfRule>
    <cfRule type="containsText" dxfId="41" priority="137" operator="containsText" text="D">
      <formula>NOT(ISERROR(SEARCH("D",AH76)))</formula>
    </cfRule>
    <cfRule type="containsText" dxfId="40" priority="138" operator="containsText" text="A">
      <formula>NOT(ISERROR(SEARCH("A",AH76)))</formula>
    </cfRule>
  </conditionalFormatting>
  <conditionalFormatting sqref="Z65:Z72">
    <cfRule type="containsText" dxfId="39" priority="109" operator="containsText" text="D">
      <formula>NOT(ISERROR(SEARCH("D",Z65)))</formula>
    </cfRule>
    <cfRule type="containsText" dxfId="38" priority="110" operator="containsText" text="A">
      <formula>NOT(ISERROR(SEARCH("A",Z65)))</formula>
    </cfRule>
  </conditionalFormatting>
  <conditionalFormatting sqref="AB65:AB74">
    <cfRule type="containsText" dxfId="37" priority="107" operator="containsText" text="D">
      <formula>NOT(ISERROR(SEARCH("D",AB65)))</formula>
    </cfRule>
    <cfRule type="containsText" dxfId="36" priority="108" operator="containsText" text="A">
      <formula>NOT(ISERROR(SEARCH("A",AB65)))</formula>
    </cfRule>
  </conditionalFormatting>
  <conditionalFormatting sqref="AH65:AH75">
    <cfRule type="containsText" dxfId="35" priority="91" operator="containsText" text="D">
      <formula>NOT(ISERROR(SEARCH("D",AH65)))</formula>
    </cfRule>
    <cfRule type="containsText" dxfId="34" priority="92" operator="containsText" text="A">
      <formula>NOT(ISERROR(SEARCH("A",AH65)))</formula>
    </cfRule>
    <cfRule type="containsText" dxfId="33" priority="101" operator="containsText" text="D">
      <formula>NOT(ISERROR(SEARCH("D",AH65)))</formula>
    </cfRule>
    <cfRule type="containsText" dxfId="32" priority="102" operator="containsText" text="A">
      <formula>NOT(ISERROR(SEARCH("A",AH65)))</formula>
    </cfRule>
  </conditionalFormatting>
  <conditionalFormatting sqref="Z55:Z65">
    <cfRule type="containsText" dxfId="31" priority="71" operator="containsText" text="D">
      <formula>NOT(ISERROR(SEARCH("D",Z55)))</formula>
    </cfRule>
    <cfRule type="containsText" dxfId="30" priority="72" operator="containsText" text="A">
      <formula>NOT(ISERROR(SEARCH("A",Z55)))</formula>
    </cfRule>
  </conditionalFormatting>
  <conditionalFormatting sqref="AB57:AB65">
    <cfRule type="containsText" dxfId="29" priority="69" operator="containsText" text="D">
      <formula>NOT(ISERROR(SEARCH("D",AB57)))</formula>
    </cfRule>
    <cfRule type="containsText" dxfId="28" priority="70" operator="containsText" text="A">
      <formula>NOT(ISERROR(SEARCH("A",AB57)))</formula>
    </cfRule>
  </conditionalFormatting>
  <conditionalFormatting sqref="AD58:AD65">
    <cfRule type="containsText" dxfId="27" priority="67" operator="containsText" text="D">
      <formula>NOT(ISERROR(SEARCH("D",AD58)))</formula>
    </cfRule>
    <cfRule type="containsText" dxfId="26" priority="68" operator="containsText" text="A">
      <formula>NOT(ISERROR(SEARCH("A",AD58)))</formula>
    </cfRule>
  </conditionalFormatting>
  <conditionalFormatting sqref="AF59:AF65">
    <cfRule type="containsText" dxfId="25" priority="65" operator="containsText" text="D">
      <formula>NOT(ISERROR(SEARCH("D",AF59)))</formula>
    </cfRule>
    <cfRule type="containsText" dxfId="24" priority="66" operator="containsText" text="A">
      <formula>NOT(ISERROR(SEARCH("A",AF59)))</formula>
    </cfRule>
  </conditionalFormatting>
  <conditionalFormatting sqref="AH63:AH65">
    <cfRule type="containsText" dxfId="23" priority="63" operator="containsText" text="D">
      <formula>NOT(ISERROR(SEARCH("D",AH63)))</formula>
    </cfRule>
    <cfRule type="containsText" dxfId="22" priority="64" operator="containsText" text="A">
      <formula>NOT(ISERROR(SEARCH("A",AH63)))</formula>
    </cfRule>
  </conditionalFormatting>
  <conditionalFormatting sqref="AJ8:AJ10">
    <cfRule type="containsText" dxfId="21" priority="17" operator="containsText" text="D">
      <formula>NOT(ISERROR(SEARCH("D",AJ8)))</formula>
    </cfRule>
    <cfRule type="containsText" dxfId="20" priority="18" operator="containsText" text="A">
      <formula>NOT(ISERROR(SEARCH("A",AJ8)))</formula>
    </cfRule>
    <cfRule type="containsText" dxfId="19" priority="55" operator="containsText" text="D">
      <formula>NOT(ISERROR(SEARCH("D",AJ8)))</formula>
    </cfRule>
    <cfRule type="containsText" dxfId="18" priority="56" operator="containsText" text="A">
      <formula>NOT(ISERROR(SEARCH("A",AJ8)))</formula>
    </cfRule>
  </conditionalFormatting>
  <conditionalFormatting sqref="AJ11:AJ13">
    <cfRule type="containsText" dxfId="17" priority="13" operator="containsText" text="D">
      <formula>NOT(ISERROR(SEARCH("D",AJ11)))</formula>
    </cfRule>
    <cfRule type="containsText" dxfId="16" priority="14" operator="containsText" text="A">
      <formula>NOT(ISERROR(SEARCH("A",AJ11)))</formula>
    </cfRule>
    <cfRule type="containsText" dxfId="15" priority="37" operator="containsText" text="D">
      <formula>NOT(ISERROR(SEARCH("D",AJ11)))</formula>
    </cfRule>
    <cfRule type="containsText" dxfId="14" priority="38" operator="containsText" text="A">
      <formula>NOT(ISERROR(SEARCH("A",AJ11)))</formula>
    </cfRule>
  </conditionalFormatting>
  <conditionalFormatting sqref="AJ14:AJ16">
    <cfRule type="containsText" dxfId="13" priority="9" operator="containsText" text="D">
      <formula>NOT(ISERROR(SEARCH("D",AJ14)))</formula>
    </cfRule>
    <cfRule type="containsText" dxfId="12" priority="10" operator="containsText" text="A">
      <formula>NOT(ISERROR(SEARCH("A",AJ14)))</formula>
    </cfRule>
    <cfRule type="containsText" dxfId="11" priority="33" operator="containsText" text="D">
      <formula>NOT(ISERROR(SEARCH("D",AJ14)))</formula>
    </cfRule>
    <cfRule type="containsText" dxfId="10" priority="34" operator="containsText" text="A">
      <formula>NOT(ISERROR(SEARCH("A",AJ14)))</formula>
    </cfRule>
  </conditionalFormatting>
  <conditionalFormatting sqref="AJ17:AJ19">
    <cfRule type="containsText" dxfId="9" priority="29" operator="containsText" text="D">
      <formula>NOT(ISERROR(SEARCH("D",AJ17)))</formula>
    </cfRule>
    <cfRule type="containsText" dxfId="8" priority="30" operator="containsText" text="A">
      <formula>NOT(ISERROR(SEARCH("A",AJ17)))</formula>
    </cfRule>
  </conditionalFormatting>
  <conditionalFormatting sqref="AH60:AH62">
    <cfRule type="containsText" dxfId="7" priority="25" operator="containsText" text="D">
      <formula>NOT(ISERROR(SEARCH("D",AH60)))</formula>
    </cfRule>
    <cfRule type="containsText" dxfId="6" priority="26" operator="containsText" text="A">
      <formula>NOT(ISERROR(SEARCH("A",AH60)))</formula>
    </cfRule>
  </conditionalFormatting>
  <conditionalFormatting sqref="U66:U105">
    <cfRule type="containsText" dxfId="5" priority="1" operator="containsText" text="D">
      <formula>NOT(ISERROR(SEARCH("D",U66)))</formula>
    </cfRule>
    <cfRule type="containsText" dxfId="4" priority="2" operator="containsText" text="A">
      <formula>NOT(ISERROR(SEARCH("A",U66)))</formula>
    </cfRule>
    <cfRule type="containsText" dxfId="3" priority="3" operator="containsText" text="D">
      <formula>NOT(ISERROR(SEARCH("D",U66)))</formula>
    </cfRule>
    <cfRule type="containsText" dxfId="2" priority="4" operator="containsText" text="A">
      <formula>NOT(ISERROR(SEARCH("A",U66)))</formula>
    </cfRule>
    <cfRule type="containsText" dxfId="1" priority="5" operator="containsText" text="D">
      <formula>NOT(ISERROR(SEARCH("D",U66)))</formula>
    </cfRule>
    <cfRule type="containsText" dxfId="0" priority="6" operator="containsText" text="A">
      <formula>NOT(ISERROR(SEARCH("A",U66)))</formula>
    </cfRule>
  </conditionalFormatting>
  <dataValidations count="3">
    <dataValidation type="list" allowBlank="1" showInputMessage="1" showErrorMessage="1" sqref="L1" xr:uid="{00000000-0002-0000-0500-000000000000}">
      <formula1>"K0_procedure,gravity_loading"</formula1>
    </dataValidation>
    <dataValidation type="list" allowBlank="1" showInputMessage="1" showErrorMessage="1" sqref="M1:AT1" xr:uid="{00000000-0002-0000-0500-000001000000}">
      <formula1>"plastic, consolidation"</formula1>
    </dataValidation>
    <dataValidation type="list" allowBlank="1" showInputMessage="1" showErrorMessage="1" sqref="L3:AT3" xr:uid="{00000000-0002-0000-0500-000002000000}">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6" r:id="rId3" name="Button 2">
              <controlPr defaultSize="0" print="0" autoFill="0" autoPict="0" macro="[0]!Run_scFULL">
                <anchor moveWithCells="1" sizeWithCells="1">
                  <from>
                    <xdr:col>1</xdr:col>
                    <xdr:colOff>247650</xdr:colOff>
                    <xdr:row>0</xdr:row>
                    <xdr:rowOff>104775</xdr:rowOff>
                  </from>
                  <to>
                    <xdr:col>1</xdr:col>
                    <xdr:colOff>2076450</xdr:colOff>
                    <xdr:row>2</xdr:row>
                    <xdr:rowOff>152400</xdr:rowOff>
                  </to>
                </anchor>
              </controlPr>
            </control>
          </mc:Choice>
        </mc:AlternateContent>
        <mc:AlternateContent xmlns:mc="http://schemas.openxmlformats.org/markup-compatibility/2006">
          <mc:Choice Requires="x14">
            <control shapeId="134153" r:id="rId4" name="Button 9">
              <controlPr defaultSize="0" print="0" autoFill="0" autoPict="0" macro="[0]!ToggleAssignSequenceColumns">
                <anchor moveWithCells="1" sizeWithCells="1">
                  <from>
                    <xdr:col>0</xdr:col>
                    <xdr:colOff>66675</xdr:colOff>
                    <xdr:row>0</xdr:row>
                    <xdr:rowOff>114300</xdr:rowOff>
                  </from>
                  <to>
                    <xdr:col>0</xdr:col>
                    <xdr:colOff>657225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8" tint="0.79998168889431442"/>
  </sheetPr>
  <dimension ref="B2:BK26"/>
  <sheetViews>
    <sheetView zoomScale="85" zoomScaleNormal="85" workbookViewId="0">
      <selection activeCell="H32" sqref="H32"/>
    </sheetView>
  </sheetViews>
  <sheetFormatPr defaultRowHeight="15.75" x14ac:dyDescent="0.25"/>
  <cols>
    <col min="2" max="2" width="17.5" customWidth="1"/>
    <col min="3" max="3" width="15.375" customWidth="1"/>
    <col min="4" max="4" width="9" customWidth="1"/>
    <col min="5" max="5" width="7.5" customWidth="1"/>
    <col min="6" max="6" width="9.875" customWidth="1"/>
    <col min="7" max="9" width="9" customWidth="1"/>
    <col min="10" max="10" width="3.375" style="76" hidden="1" customWidth="1"/>
    <col min="11" max="11" width="31.25" hidden="1" customWidth="1"/>
    <col min="12" max="12" width="29" hidden="1" customWidth="1"/>
    <col min="13" max="13" width="5.75" hidden="1" customWidth="1"/>
    <col min="14" max="22" width="6.125" hidden="1" customWidth="1"/>
    <col min="23" max="25" width="7" hidden="1" customWidth="1"/>
    <col min="26" max="26" width="8.625" hidden="1" customWidth="1"/>
    <col min="27" max="29" width="7" hidden="1" customWidth="1"/>
    <col min="30" max="63" width="0" hidden="1" customWidth="1"/>
  </cols>
  <sheetData>
    <row r="2" spans="2:63" x14ac:dyDescent="0.25">
      <c r="C2" t="s">
        <v>604</v>
      </c>
      <c r="Y2" s="85"/>
      <c r="Z2" t="s">
        <v>597</v>
      </c>
    </row>
    <row r="4" spans="2:63" x14ac:dyDescent="0.25">
      <c r="K4" t="s">
        <v>520</v>
      </c>
      <c r="L4" s="35" t="s">
        <v>590</v>
      </c>
    </row>
    <row r="5" spans="2:63" x14ac:dyDescent="0.25">
      <c r="K5" t="s">
        <v>521</v>
      </c>
      <c r="L5" t="s">
        <v>155</v>
      </c>
      <c r="N5" s="55"/>
    </row>
    <row r="6" spans="2:63" x14ac:dyDescent="0.25">
      <c r="K6" t="s">
        <v>594</v>
      </c>
      <c r="L6" t="s">
        <v>598</v>
      </c>
    </row>
    <row r="7" spans="2:63" x14ac:dyDescent="0.25">
      <c r="B7" t="s">
        <v>522</v>
      </c>
      <c r="G7" t="s">
        <v>523</v>
      </c>
    </row>
    <row r="8" spans="2:63" x14ac:dyDescent="0.25">
      <c r="B8" s="3" t="s">
        <v>320</v>
      </c>
      <c r="C8" s="3" t="s">
        <v>114</v>
      </c>
      <c r="D8" s="3" t="s">
        <v>115</v>
      </c>
      <c r="E8" s="3" t="s">
        <v>116</v>
      </c>
      <c r="F8" s="3" t="s">
        <v>28</v>
      </c>
      <c r="G8" s="3" t="s">
        <v>524</v>
      </c>
      <c r="H8" s="3" t="s">
        <v>525</v>
      </c>
      <c r="J8" s="76" t="s">
        <v>595</v>
      </c>
      <c r="K8" s="3" t="s">
        <v>526</v>
      </c>
      <c r="L8" s="77" t="s">
        <v>486</v>
      </c>
      <c r="M8" s="78" t="s">
        <v>323</v>
      </c>
      <c r="N8" s="78" t="s">
        <v>325</v>
      </c>
      <c r="O8" s="78" t="s">
        <v>327</v>
      </c>
      <c r="P8" s="78" t="s">
        <v>328</v>
      </c>
      <c r="Q8" s="78" t="s">
        <v>329</v>
      </c>
      <c r="R8" s="78" t="s">
        <v>331</v>
      </c>
      <c r="S8" s="78" t="s">
        <v>332</v>
      </c>
      <c r="T8" s="78" t="s">
        <v>333</v>
      </c>
      <c r="U8" s="78" t="s">
        <v>334</v>
      </c>
      <c r="V8" s="78" t="s">
        <v>335</v>
      </c>
      <c r="W8" s="78" t="s">
        <v>336</v>
      </c>
      <c r="X8" s="78" t="s">
        <v>337</v>
      </c>
      <c r="Y8" s="78" t="s">
        <v>338</v>
      </c>
      <c r="Z8" s="78" t="s">
        <v>339</v>
      </c>
      <c r="AA8" s="78" t="s">
        <v>340</v>
      </c>
      <c r="AB8" s="78" t="s">
        <v>341</v>
      </c>
      <c r="AC8" s="78" t="s">
        <v>342</v>
      </c>
      <c r="AD8" s="78" t="s">
        <v>343</v>
      </c>
      <c r="AE8" s="78" t="s">
        <v>344</v>
      </c>
      <c r="AF8" s="78" t="s">
        <v>345</v>
      </c>
      <c r="AG8" s="78" t="s">
        <v>346</v>
      </c>
      <c r="AH8" s="78" t="s">
        <v>347</v>
      </c>
      <c r="AI8" s="78" t="s">
        <v>348</v>
      </c>
      <c r="AJ8" s="78" t="s">
        <v>349</v>
      </c>
      <c r="AK8" s="78" t="s">
        <v>350</v>
      </c>
      <c r="AL8" s="78" t="s">
        <v>351</v>
      </c>
      <c r="AM8" s="78" t="s">
        <v>352</v>
      </c>
      <c r="AN8" s="78" t="s">
        <v>353</v>
      </c>
      <c r="AO8" s="78" t="s">
        <v>488</v>
      </c>
      <c r="AP8" s="78" t="s">
        <v>489</v>
      </c>
      <c r="AQ8" s="78" t="s">
        <v>490</v>
      </c>
      <c r="AR8" s="78" t="s">
        <v>491</v>
      </c>
      <c r="AS8" s="78" t="s">
        <v>492</v>
      </c>
      <c r="AT8" s="78" t="s">
        <v>493</v>
      </c>
      <c r="AU8" s="78" t="s">
        <v>494</v>
      </c>
      <c r="AV8" s="78" t="s">
        <v>495</v>
      </c>
      <c r="AW8" s="78" t="s">
        <v>496</v>
      </c>
      <c r="AX8" s="78" t="s">
        <v>497</v>
      </c>
      <c r="AY8" s="78" t="s">
        <v>498</v>
      </c>
      <c r="AZ8" s="78" t="s">
        <v>499</v>
      </c>
      <c r="BA8" s="78" t="s">
        <v>500</v>
      </c>
      <c r="BB8" s="78" t="s">
        <v>501</v>
      </c>
      <c r="BC8" s="78" t="s">
        <v>502</v>
      </c>
      <c r="BD8" s="78" t="s">
        <v>503</v>
      </c>
      <c r="BE8" s="78" t="s">
        <v>504</v>
      </c>
      <c r="BF8" s="78" t="s">
        <v>505</v>
      </c>
      <c r="BG8" s="78" t="s">
        <v>506</v>
      </c>
      <c r="BH8" s="78" t="s">
        <v>507</v>
      </c>
      <c r="BI8" s="78" t="s">
        <v>508</v>
      </c>
      <c r="BJ8" s="78" t="s">
        <v>509</v>
      </c>
      <c r="BK8" s="78" t="s">
        <v>510</v>
      </c>
    </row>
    <row r="9" spans="2:63" x14ac:dyDescent="0.25">
      <c r="B9" s="3" t="s">
        <v>527</v>
      </c>
      <c r="C9" s="3" t="s">
        <v>528</v>
      </c>
      <c r="D9" s="3">
        <v>28</v>
      </c>
      <c r="E9" s="3">
        <v>5</v>
      </c>
      <c r="F9" s="3" t="s">
        <v>529</v>
      </c>
      <c r="G9" s="3" t="s">
        <v>596</v>
      </c>
      <c r="H9" s="3" t="s">
        <v>593</v>
      </c>
      <c r="K9" s="3"/>
      <c r="L9" s="3"/>
      <c r="M9" s="3"/>
      <c r="N9" s="3"/>
      <c r="O9" s="3"/>
      <c r="P9" s="3"/>
      <c r="Q9" s="3"/>
      <c r="R9" s="3"/>
      <c r="S9" s="3"/>
      <c r="T9" s="3"/>
      <c r="U9" s="3"/>
      <c r="V9" s="3"/>
      <c r="W9" s="3"/>
      <c r="X9" s="3"/>
      <c r="Y9" s="3"/>
      <c r="Z9" s="3"/>
      <c r="AA9" s="3"/>
      <c r="AB9" s="3"/>
      <c r="AC9" s="85"/>
      <c r="AD9" s="85"/>
      <c r="AE9" s="85"/>
      <c r="AF9" s="85"/>
      <c r="AG9" s="85"/>
      <c r="AH9" s="85"/>
      <c r="AI9" s="85"/>
      <c r="AJ9" s="85"/>
      <c r="AK9" s="85"/>
      <c r="AL9" s="85"/>
      <c r="AM9" s="85"/>
      <c r="AN9" s="85"/>
      <c r="AO9" s="3"/>
      <c r="AP9" s="3"/>
      <c r="AQ9" s="3"/>
      <c r="AR9" s="3"/>
      <c r="AS9" s="3"/>
      <c r="AT9" s="3"/>
      <c r="AU9" s="3"/>
      <c r="AV9" s="3"/>
      <c r="AW9" s="3"/>
      <c r="AX9" s="3"/>
      <c r="AY9" s="3"/>
      <c r="AZ9" s="3"/>
      <c r="BA9" s="3"/>
      <c r="BB9" s="3"/>
      <c r="BC9" s="3"/>
      <c r="BD9" s="3"/>
      <c r="BE9" s="3"/>
      <c r="BF9" s="3"/>
      <c r="BG9" s="3"/>
      <c r="BH9" s="3"/>
      <c r="BI9" s="3"/>
      <c r="BJ9" s="3"/>
      <c r="BK9" s="3"/>
    </row>
    <row r="10" spans="2:63" x14ac:dyDescent="0.25">
      <c r="B10" s="3" t="s">
        <v>530</v>
      </c>
      <c r="C10" s="3" t="s">
        <v>531</v>
      </c>
      <c r="D10" s="3">
        <v>185.96799999999999</v>
      </c>
      <c r="E10" s="3">
        <v>2.9420000000000002</v>
      </c>
      <c r="F10" s="3" t="s">
        <v>532</v>
      </c>
      <c r="G10" s="3" t="s">
        <v>591</v>
      </c>
      <c r="H10" s="3" t="s">
        <v>592</v>
      </c>
      <c r="K10" s="3"/>
      <c r="L10" s="3"/>
      <c r="M10" s="3"/>
      <c r="N10" s="3"/>
      <c r="O10" s="3"/>
      <c r="P10" s="3"/>
      <c r="Q10" s="3"/>
      <c r="R10" s="3"/>
      <c r="S10" s="3"/>
      <c r="T10" s="3"/>
      <c r="U10" s="3"/>
      <c r="V10" s="3"/>
      <c r="W10" s="3"/>
      <c r="X10" s="3"/>
      <c r="Y10" s="3"/>
      <c r="Z10" s="3"/>
      <c r="AA10" s="3"/>
      <c r="AB10" s="3"/>
      <c r="AC10" s="3"/>
      <c r="AD10" s="3"/>
      <c r="AE10" s="85"/>
      <c r="AF10" s="85"/>
      <c r="AG10" s="85"/>
      <c r="AH10" s="85"/>
      <c r="AI10" s="85"/>
      <c r="AJ10" s="85"/>
      <c r="AK10" s="85"/>
      <c r="AL10" s="85"/>
      <c r="AM10" s="85"/>
      <c r="AN10" s="85"/>
      <c r="AO10" s="3"/>
      <c r="AP10" s="3"/>
      <c r="AQ10" s="3"/>
      <c r="AR10" s="3"/>
      <c r="AS10" s="3"/>
      <c r="AT10" s="3"/>
      <c r="AU10" s="3"/>
      <c r="AV10" s="3"/>
      <c r="AW10" s="3"/>
      <c r="AX10" s="3"/>
      <c r="AY10" s="3"/>
      <c r="AZ10" s="3"/>
      <c r="BA10" s="3"/>
      <c r="BB10" s="3"/>
      <c r="BC10" s="3"/>
      <c r="BD10" s="3"/>
      <c r="BE10" s="3"/>
      <c r="BF10" s="3"/>
      <c r="BG10" s="3"/>
      <c r="BH10" s="3"/>
      <c r="BI10" s="3"/>
      <c r="BJ10" s="3"/>
      <c r="BK10" s="3"/>
    </row>
    <row r="11" spans="2:63" x14ac:dyDescent="0.25">
      <c r="B11" s="3" t="s">
        <v>533</v>
      </c>
      <c r="C11" s="3" t="s">
        <v>531</v>
      </c>
      <c r="D11" s="3">
        <v>61.5</v>
      </c>
      <c r="E11" s="3">
        <v>-2.7770000000000001</v>
      </c>
      <c r="F11" s="3" t="s">
        <v>532</v>
      </c>
      <c r="G11" s="3" t="s">
        <v>591</v>
      </c>
      <c r="H11" s="3" t="s">
        <v>592</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row>
    <row r="12" spans="2:63" x14ac:dyDescent="0.25">
      <c r="B12" s="3" t="s">
        <v>534</v>
      </c>
      <c r="C12" s="3" t="s">
        <v>531</v>
      </c>
      <c r="D12" s="3">
        <v>123.64400000000001</v>
      </c>
      <c r="E12" s="3">
        <v>-9.86</v>
      </c>
      <c r="F12" s="3" t="s">
        <v>532</v>
      </c>
      <c r="G12" s="3" t="s">
        <v>591</v>
      </c>
      <c r="H12" s="3" t="s">
        <v>592</v>
      </c>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row>
    <row r="13" spans="2:63" ht="16.5" customHeight="1" x14ac:dyDescent="0.3">
      <c r="B13" s="3"/>
      <c r="C13" s="3"/>
      <c r="D13" s="3"/>
      <c r="E13" s="3"/>
      <c r="F13" s="3"/>
      <c r="G13" s="3"/>
      <c r="H13" s="3"/>
      <c r="K13" s="3"/>
      <c r="L13" s="3"/>
      <c r="M13" s="3"/>
      <c r="N13" s="3"/>
      <c r="O13" s="3"/>
      <c r="P13" s="3"/>
      <c r="Q13" s="3"/>
      <c r="R13" s="3"/>
      <c r="S13" s="3"/>
      <c r="T13" s="3"/>
      <c r="U13" s="79"/>
      <c r="V13" s="79"/>
      <c r="W13" s="79"/>
      <c r="X13" s="79"/>
      <c r="Y13" s="79"/>
      <c r="Z13" s="79"/>
      <c r="AA13" s="79"/>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row>
    <row r="14" spans="2:63" ht="16.5" customHeight="1" x14ac:dyDescent="0.3">
      <c r="B14" s="3"/>
      <c r="C14" s="3"/>
      <c r="D14" s="3"/>
      <c r="E14" s="3"/>
      <c r="F14" s="3"/>
      <c r="G14" s="3"/>
      <c r="H14" s="3"/>
      <c r="K14" s="3"/>
      <c r="L14" s="3"/>
      <c r="M14" s="3"/>
      <c r="N14" s="3"/>
      <c r="O14" s="3"/>
      <c r="P14" s="3"/>
      <c r="Q14" s="3"/>
      <c r="R14" s="3"/>
      <c r="S14" s="3"/>
      <c r="T14" s="3"/>
      <c r="U14" s="79"/>
      <c r="V14" s="79"/>
      <c r="W14" s="79"/>
      <c r="X14" s="79"/>
      <c r="Y14" s="79"/>
      <c r="Z14" s="79"/>
      <c r="AA14" s="79"/>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row>
    <row r="15" spans="2:63" ht="16.5" customHeight="1" x14ac:dyDescent="0.3">
      <c r="B15" s="3"/>
      <c r="C15" s="3"/>
      <c r="D15" s="3"/>
      <c r="E15" s="3"/>
      <c r="F15" s="3"/>
      <c r="G15" s="3"/>
      <c r="H15" s="3"/>
      <c r="K15" s="3"/>
      <c r="L15" s="3"/>
      <c r="M15" s="3"/>
      <c r="N15" s="3"/>
      <c r="O15" s="3"/>
      <c r="P15" s="3"/>
      <c r="Q15" s="3"/>
      <c r="R15" s="3"/>
      <c r="S15" s="3"/>
      <c r="T15" s="3"/>
      <c r="U15" s="79"/>
      <c r="V15" s="79"/>
      <c r="W15" s="79"/>
      <c r="X15" s="79"/>
      <c r="Y15" s="79"/>
      <c r="Z15" s="79"/>
      <c r="AA15" s="79"/>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row>
    <row r="16" spans="2:63" x14ac:dyDescent="0.25">
      <c r="B16" s="3"/>
      <c r="C16" s="3"/>
      <c r="D16" s="3"/>
      <c r="E16" s="3"/>
      <c r="F16" s="3"/>
      <c r="G16" s="3"/>
      <c r="H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row>
    <row r="17" spans="2:63" x14ac:dyDescent="0.25">
      <c r="B17" s="3"/>
      <c r="C17" s="3"/>
      <c r="D17" s="3"/>
      <c r="E17" s="3"/>
      <c r="F17" s="3"/>
      <c r="G17" s="3"/>
      <c r="H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row>
    <row r="18" spans="2:63" x14ac:dyDescent="0.25">
      <c r="B18" s="3"/>
      <c r="C18" s="3"/>
      <c r="D18" s="3"/>
      <c r="E18" s="3"/>
      <c r="F18" s="3"/>
      <c r="G18" s="3"/>
      <c r="H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row>
    <row r="19" spans="2:63" ht="16.5" customHeight="1" x14ac:dyDescent="0.3">
      <c r="B19" s="3"/>
      <c r="C19" s="3"/>
      <c r="D19" s="3"/>
      <c r="E19" s="3"/>
      <c r="F19" s="3"/>
      <c r="G19" s="3"/>
      <c r="H19" s="3"/>
      <c r="K19" s="3"/>
      <c r="L19" s="3"/>
      <c r="M19" s="3"/>
      <c r="N19" s="3"/>
      <c r="O19" s="3"/>
      <c r="P19" s="3"/>
      <c r="Q19" s="3"/>
      <c r="R19" s="3"/>
      <c r="S19" s="3"/>
      <c r="T19" s="3"/>
      <c r="U19" s="79"/>
      <c r="V19" s="79"/>
      <c r="W19" s="79"/>
      <c r="X19" s="79"/>
      <c r="Y19" s="79"/>
      <c r="Z19" s="79"/>
      <c r="AA19" s="79"/>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row>
    <row r="20" spans="2:63" ht="16.5" customHeight="1" x14ac:dyDescent="0.3">
      <c r="B20" s="3"/>
      <c r="C20" s="3"/>
      <c r="D20" s="3"/>
      <c r="E20" s="3"/>
      <c r="F20" s="3"/>
      <c r="G20" s="3"/>
      <c r="H20" s="3"/>
      <c r="K20" s="3"/>
      <c r="L20" s="3"/>
      <c r="M20" s="3"/>
      <c r="N20" s="3"/>
      <c r="O20" s="3"/>
      <c r="P20" s="3"/>
      <c r="Q20" s="3"/>
      <c r="R20" s="3"/>
      <c r="S20" s="3"/>
      <c r="T20" s="3"/>
      <c r="U20" s="79"/>
      <c r="V20" s="79"/>
      <c r="W20" s="79"/>
      <c r="X20" s="79"/>
      <c r="Y20" s="79"/>
      <c r="Z20" s="79"/>
      <c r="AA20" s="79"/>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row>
    <row r="21" spans="2:63" ht="16.5" customHeight="1" x14ac:dyDescent="0.3">
      <c r="B21" s="3"/>
      <c r="C21" s="3"/>
      <c r="D21" s="3"/>
      <c r="E21" s="3"/>
      <c r="F21" s="3"/>
      <c r="G21" s="3"/>
      <c r="H21" s="3"/>
      <c r="K21" s="3"/>
      <c r="L21" s="3"/>
      <c r="M21" s="3"/>
      <c r="N21" s="3"/>
      <c r="O21" s="3"/>
      <c r="P21" s="3"/>
      <c r="Q21" s="3"/>
      <c r="R21" s="3"/>
      <c r="S21" s="3"/>
      <c r="T21" s="3"/>
      <c r="U21" s="79"/>
      <c r="V21" s="79"/>
      <c r="W21" s="79"/>
      <c r="X21" s="79"/>
      <c r="Y21" s="79"/>
      <c r="Z21" s="79"/>
      <c r="AA21" s="79"/>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row>
    <row r="22" spans="2:63" ht="16.5" customHeight="1" x14ac:dyDescent="0.3">
      <c r="B22" s="3"/>
      <c r="C22" s="3"/>
      <c r="D22" s="3"/>
      <c r="E22" s="3"/>
      <c r="F22" s="3"/>
      <c r="G22" s="3"/>
      <c r="H22" s="3"/>
      <c r="K22" s="3"/>
      <c r="L22" s="3"/>
      <c r="M22" s="3"/>
      <c r="N22" s="3"/>
      <c r="O22" s="3"/>
      <c r="P22" s="3"/>
      <c r="Q22" s="3"/>
      <c r="R22" s="3"/>
      <c r="S22" s="3"/>
      <c r="T22" s="3"/>
      <c r="U22" s="79"/>
      <c r="V22" s="79"/>
      <c r="W22" s="79"/>
      <c r="X22" s="79"/>
      <c r="Y22" s="79"/>
      <c r="Z22" s="79"/>
      <c r="AA22" s="79"/>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row>
    <row r="23" spans="2:63" x14ac:dyDescent="0.25">
      <c r="B23" s="3"/>
      <c r="C23" s="3"/>
      <c r="D23" s="3"/>
      <c r="E23" s="3"/>
      <c r="F23" s="3"/>
      <c r="G23" s="3"/>
      <c r="H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row>
    <row r="24" spans="2:63" x14ac:dyDescent="0.25">
      <c r="B24" s="3"/>
      <c r="C24" s="3"/>
      <c r="D24" s="3"/>
      <c r="E24" s="3"/>
      <c r="F24" s="3"/>
      <c r="G24" s="3"/>
      <c r="H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row>
    <row r="25" spans="2:63" x14ac:dyDescent="0.25">
      <c r="B25" s="3"/>
      <c r="C25" s="3"/>
      <c r="D25" s="3"/>
      <c r="E25" s="3"/>
      <c r="F25" s="3"/>
      <c r="G25" s="3"/>
      <c r="H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row>
    <row r="26" spans="2:63" x14ac:dyDescent="0.25">
      <c r="B26" s="3"/>
      <c r="C26" s="3"/>
      <c r="D26" s="3"/>
      <c r="E26" s="3"/>
      <c r="F26" s="3"/>
      <c r="G26" s="3"/>
      <c r="H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row>
  </sheetData>
  <dataValidations count="4">
    <dataValidation type="list" allowBlank="1" showInputMessage="1" showErrorMessage="1" sqref="L5" xr:uid="{09C091EE-0890-4831-9250-62B70FCA1020}">
      <formula1>"yes, no"</formula1>
    </dataValidation>
    <dataValidation type="list" allowBlank="1" showInputMessage="1" showErrorMessage="1" sqref="G9:G26" xr:uid="{8735E6B6-847A-4EC4-A006-AC647F4B645A}">
      <formula1>"time,p',U, step"</formula1>
    </dataValidation>
    <dataValidation type="list" allowBlank="1" showInputMessage="1" showErrorMessage="1" sqref="H9:H26" xr:uid="{4929D9B0-E851-43FF-B335-76B49AEA6E5A}">
      <formula1>"Ux, Uy,U,  q, $"</formula1>
    </dataValidation>
    <dataValidation type="list" allowBlank="1" showInputMessage="1" showErrorMessage="1" sqref="L6" xr:uid="{FC236882-047B-469E-AD61-8021543DF90D}">
      <formula1>"yes, yes_without_initial,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4385" r:id="rId3" name="Button 1">
              <controlPr defaultSize="0" print="0" autoFill="0" autoPict="0" macro="[0]!ToggleHideColumns_BtoH">
                <anchor moveWithCells="1" sizeWithCells="1">
                  <from>
                    <xdr:col>0</xdr:col>
                    <xdr:colOff>57150</xdr:colOff>
                    <xdr:row>0</xdr:row>
                    <xdr:rowOff>76200</xdr:rowOff>
                  </from>
                  <to>
                    <xdr:col>0</xdr:col>
                    <xdr:colOff>647700</xdr:colOff>
                    <xdr:row>2</xdr:row>
                    <xdr:rowOff>133350</xdr:rowOff>
                  </to>
                </anchor>
              </controlPr>
            </control>
          </mc:Choice>
        </mc:AlternateContent>
        <mc:AlternateContent xmlns:mc="http://schemas.openxmlformats.org/markup-compatibility/2006">
          <mc:Choice Requires="x14">
            <control shapeId="144389" r:id="rId4" name="Button 5">
              <controlPr defaultSize="0" print="0" autoFill="0" autoPict="0" macro="[0]!Run_sc7">
                <anchor moveWithCells="1" sizeWithCells="1">
                  <from>
                    <xdr:col>1</xdr:col>
                    <xdr:colOff>114300</xdr:colOff>
                    <xdr:row>0</xdr:row>
                    <xdr:rowOff>114300</xdr:rowOff>
                  </from>
                  <to>
                    <xdr:col>1</xdr:col>
                    <xdr:colOff>1276350</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B2:AC23"/>
  <sheetViews>
    <sheetView zoomScale="85" zoomScaleNormal="85" workbookViewId="0">
      <selection activeCell="Z2" sqref="Z2:Z5"/>
    </sheetView>
  </sheetViews>
  <sheetFormatPr defaultRowHeight="15.75" x14ac:dyDescent="0.25"/>
  <cols>
    <col min="2" max="2" width="6.875" customWidth="1"/>
    <col min="3" max="3" width="20" customWidth="1"/>
    <col min="4" max="4" width="27.75" customWidth="1"/>
  </cols>
  <sheetData>
    <row r="2" spans="2:26" x14ac:dyDescent="0.25">
      <c r="M2" t="s">
        <v>20</v>
      </c>
      <c r="O2" t="s">
        <v>535</v>
      </c>
      <c r="Q2" t="s">
        <v>536</v>
      </c>
      <c r="S2" t="s">
        <v>537</v>
      </c>
      <c r="V2" t="s">
        <v>538</v>
      </c>
      <c r="X2" s="3" t="s">
        <v>99</v>
      </c>
      <c r="Z2" t="s">
        <v>68</v>
      </c>
    </row>
    <row r="3" spans="2:26" x14ac:dyDescent="0.25">
      <c r="M3" t="s">
        <v>539</v>
      </c>
      <c r="O3" s="26" t="s">
        <v>540</v>
      </c>
      <c r="Q3" t="s">
        <v>541</v>
      </c>
      <c r="S3" t="s">
        <v>6</v>
      </c>
      <c r="V3" t="s">
        <v>12</v>
      </c>
      <c r="X3" s="3" t="s">
        <v>542</v>
      </c>
      <c r="Z3" t="s">
        <v>102</v>
      </c>
    </row>
    <row r="4" spans="2:26" x14ac:dyDescent="0.25">
      <c r="M4" t="s">
        <v>543</v>
      </c>
      <c r="O4" s="26" t="s">
        <v>6</v>
      </c>
      <c r="Q4" t="s">
        <v>544</v>
      </c>
      <c r="X4" s="3" t="s">
        <v>545</v>
      </c>
      <c r="Z4" t="s">
        <v>6</v>
      </c>
    </row>
    <row r="5" spans="2:26" x14ac:dyDescent="0.25">
      <c r="B5" t="s">
        <v>546</v>
      </c>
      <c r="Q5" t="s">
        <v>21</v>
      </c>
      <c r="X5" s="3" t="s">
        <v>66</v>
      </c>
    </row>
    <row r="6" spans="2:26" x14ac:dyDescent="0.25">
      <c r="B6" t="s">
        <v>547</v>
      </c>
      <c r="X6" s="3" t="s">
        <v>548</v>
      </c>
    </row>
    <row r="7" spans="2:26" x14ac:dyDescent="0.25">
      <c r="X7" s="3" t="s">
        <v>62</v>
      </c>
    </row>
    <row r="8" spans="2:26" x14ac:dyDescent="0.25">
      <c r="B8" t="s">
        <v>549</v>
      </c>
      <c r="X8" s="3" t="s">
        <v>550</v>
      </c>
    </row>
    <row r="9" spans="2:26" x14ac:dyDescent="0.25">
      <c r="B9">
        <v>1</v>
      </c>
      <c r="C9" t="s">
        <v>551</v>
      </c>
      <c r="X9" s="3" t="s">
        <v>552</v>
      </c>
    </row>
    <row r="10" spans="2:26" x14ac:dyDescent="0.25">
      <c r="B10">
        <v>2</v>
      </c>
      <c r="C10" t="s">
        <v>553</v>
      </c>
      <c r="X10" s="3" t="s">
        <v>554</v>
      </c>
    </row>
    <row r="11" spans="2:26" x14ac:dyDescent="0.25">
      <c r="B11">
        <v>3</v>
      </c>
      <c r="C11" t="s">
        <v>555</v>
      </c>
    </row>
    <row r="12" spans="2:26" x14ac:dyDescent="0.25">
      <c r="B12">
        <v>4</v>
      </c>
      <c r="C12" t="s">
        <v>556</v>
      </c>
    </row>
    <row r="13" spans="2:26" x14ac:dyDescent="0.25">
      <c r="B13">
        <v>5</v>
      </c>
      <c r="C13" t="s">
        <v>557</v>
      </c>
      <c r="J13" s="5"/>
    </row>
    <row r="14" spans="2:26" x14ac:dyDescent="0.25">
      <c r="B14" t="s">
        <v>558</v>
      </c>
      <c r="C14" t="s">
        <v>559</v>
      </c>
      <c r="D14" t="s">
        <v>560</v>
      </c>
    </row>
    <row r="15" spans="2:26" x14ac:dyDescent="0.25">
      <c r="B15" t="s">
        <v>561</v>
      </c>
      <c r="C15" t="s">
        <v>562</v>
      </c>
      <c r="D15" t="s">
        <v>563</v>
      </c>
    </row>
    <row r="17" spans="22:29" x14ac:dyDescent="0.25">
      <c r="V17" t="s">
        <v>147</v>
      </c>
      <c r="X17" t="s">
        <v>155</v>
      </c>
      <c r="Z17" t="s">
        <v>143</v>
      </c>
      <c r="AC17" t="s">
        <v>564</v>
      </c>
    </row>
    <row r="18" spans="22:29" x14ac:dyDescent="0.25">
      <c r="V18" t="s">
        <v>144</v>
      </c>
      <c r="X18" t="s">
        <v>146</v>
      </c>
      <c r="Z18" t="s">
        <v>565</v>
      </c>
      <c r="AC18" t="s">
        <v>566</v>
      </c>
    </row>
    <row r="19" spans="22:29" x14ac:dyDescent="0.25">
      <c r="Z19" t="s">
        <v>567</v>
      </c>
      <c r="AC19" t="s">
        <v>568</v>
      </c>
    </row>
    <row r="20" spans="22:29" x14ac:dyDescent="0.25">
      <c r="Z20" t="s">
        <v>569</v>
      </c>
      <c r="AC20" t="s">
        <v>570</v>
      </c>
    </row>
    <row r="21" spans="22:29" x14ac:dyDescent="0.25">
      <c r="Z21" t="s">
        <v>571</v>
      </c>
      <c r="AC21" t="s">
        <v>572</v>
      </c>
    </row>
    <row r="22" spans="22:29" x14ac:dyDescent="0.25">
      <c r="Z22" t="s">
        <v>573</v>
      </c>
    </row>
    <row r="23" spans="22:29" x14ac:dyDescent="0.25">
      <c r="Z23" t="s">
        <v>574</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B17"/>
  <sheetViews>
    <sheetView workbookViewId="0">
      <selection activeCell="J16" sqref="J16"/>
    </sheetView>
  </sheetViews>
  <sheetFormatPr defaultColWidth="8.875" defaultRowHeight="15.75" x14ac:dyDescent="0.25"/>
  <cols>
    <col min="1" max="1" width="20.75" style="1" customWidth="1"/>
    <col min="2" max="2" width="9.25" style="1" customWidth="1"/>
    <col min="3" max="10" width="8.875" style="1" customWidth="1"/>
    <col min="11" max="16384" width="8.875" style="1"/>
  </cols>
  <sheetData>
    <row r="1" spans="1:2" x14ac:dyDescent="0.25">
      <c r="A1" s="1" t="s">
        <v>575</v>
      </c>
      <c r="B1" s="1" t="s">
        <v>576</v>
      </c>
    </row>
    <row r="2" spans="1:2" x14ac:dyDescent="0.25">
      <c r="A2" s="1" t="s">
        <v>577</v>
      </c>
    </row>
    <row r="3" spans="1:2" x14ac:dyDescent="0.25">
      <c r="A3" s="1" t="s">
        <v>578</v>
      </c>
    </row>
    <row r="4" spans="1:2" x14ac:dyDescent="0.25">
      <c r="A4" s="1" t="s">
        <v>579</v>
      </c>
    </row>
    <row r="5" spans="1:2" x14ac:dyDescent="0.25">
      <c r="A5" s="1" t="s">
        <v>580</v>
      </c>
    </row>
    <row r="6" spans="1:2" x14ac:dyDescent="0.25">
      <c r="A6" s="1" t="s">
        <v>581</v>
      </c>
    </row>
    <row r="7" spans="1:2" x14ac:dyDescent="0.25">
      <c r="A7" s="1" t="s">
        <v>582</v>
      </c>
      <c r="B7" s="1" t="b">
        <v>0</v>
      </c>
    </row>
    <row r="8" spans="1:2" x14ac:dyDescent="0.25">
      <c r="A8" s="1" t="s">
        <v>583</v>
      </c>
      <c r="B8" s="1" t="b">
        <v>0</v>
      </c>
    </row>
    <row r="9" spans="1:2" x14ac:dyDescent="0.25">
      <c r="A9" s="1" t="s">
        <v>584</v>
      </c>
      <c r="B9" s="1" t="b">
        <v>0</v>
      </c>
    </row>
    <row r="13" spans="1:2" x14ac:dyDescent="0.25">
      <c r="A13" s="2" t="s">
        <v>585</v>
      </c>
    </row>
    <row r="14" spans="1:2" x14ac:dyDescent="0.25">
      <c r="A14" s="1" t="s">
        <v>586</v>
      </c>
    </row>
    <row r="15" spans="1:2" x14ac:dyDescent="0.25">
      <c r="A15" s="1" t="s">
        <v>587</v>
      </c>
    </row>
    <row r="16" spans="1:2" x14ac:dyDescent="0.25">
      <c r="A16" s="1" t="s">
        <v>588</v>
      </c>
    </row>
    <row r="17" spans="1:1" x14ac:dyDescent="0.25">
      <c r="A17" s="1" t="s">
        <v>589</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vt:lpstr>
      <vt:lpstr>cmd_plaxis</vt:lpstr>
      <vt:lpstr>str_2D</vt:lpstr>
      <vt:lpstr>DIAGNOSTIC</vt:lpstr>
      <vt:lpstr>elements</vt:lpstr>
      <vt:lpstr>assign_sequence</vt:lpstr>
      <vt:lpstr>output</vt:lpstr>
      <vt:lpstr>manual</vt:lpstr>
      <vt:lpstr>_xlwings.conf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 S Tazakka</cp:lastModifiedBy>
  <cp:lastPrinted>2024-09-21T01:21:06Z</cp:lastPrinted>
  <dcterms:created xsi:type="dcterms:W3CDTF">2015-01-25T11:31:25Z</dcterms:created>
  <dcterms:modified xsi:type="dcterms:W3CDTF">2026-09-15T00:47:47Z</dcterms:modified>
</cp:coreProperties>
</file>